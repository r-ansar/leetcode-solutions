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<sst xmlns="http://schemas.openxmlformats.org/spreadsheetml/2006/main" count="494" uniqueCount="203">
  <si>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</si>
  <si>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</si>
  <si>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</si>
  <si>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</si>
  <si>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</si>
  <si>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</si>
  <si>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</si>
  <si>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</si>
  <si>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</si>
  <si>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</si>
  <si>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</si>
  <si>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</si>
  <si>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</si>
  <si>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</si>
  <si>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</si>
  <si>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</si>
  <si>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</si>
  <si>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</si>
  <si>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</si>
  <si>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</si>
  <si>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</si>
  <si>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</si>
  <si>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</si>
  <si>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</si>
  <si>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</si>
  <si>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</si>
  <si>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</si>
  <si>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</si>
  <si>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</si>
  <si>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</si>
  <si>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</si>
  <si>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</si>
  <si>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</si>
  <si>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</si>
  <si>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</si>
  <si>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</si>
  <si>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</si>
  <si>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</si>
  <si>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</si>
  <si>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</si>
  <si>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</si>
  <si>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</si>
  <si>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</si>
  <si>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</si>
  <si>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</si>
  <si>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</si>
  <si>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</si>
  <si>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</si>
  <si>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</si>
  <si>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</si>
  <si>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</si>
  <si>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</si>
  <si>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</si>
  <si>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</si>
  <si>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</si>
  <si>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</si>
  <si>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</si>
  <si>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</si>
  <si>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</si>
  <si>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</si>
  <si>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</si>
  <si>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</si>
  <si>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</si>
  <si>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</si>
  <si>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</si>
  <si>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</si>
  <si>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</si>
  <si>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</si>
  <si>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</si>
  <si>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</si>
  <si>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</si>
  <si>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</si>
  <si>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</si>
  <si>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</si>
  <si>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</si>
  <si>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</si>
  <si>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</si>
  <si>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</si>
  <si>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</si>
  <si>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</si>
  <si>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 with Help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</si>
  <si>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</si>
  <si>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</si>
  <si>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</si>
  <si>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Yes</t>
  </si>
  <si>
    <t xml:space="preserve">Solved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</si>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</sst>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1" activePane="bottomLeft" state="frozen"/>
      <selection pane="topLeft" activeCell="A1" activeCellId="0" sqref="A1"/>
      <selection pane="bottomLeft" activeCell="J72" activeCellId="0" sqref="J7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 t="n">
        <v>46213</v>
      </c>
      <c r="K58" s="10" t="n">
        <f aca="false">IF(J58="","",J58+14)</f>
        <v>46227</v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 t="n">
        <v>46214</v>
      </c>
      <c r="K59" s="10" t="n">
        <f aca="false">IF(J59="","",J59+14)</f>
        <v>46228</v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80</v>
      </c>
      <c r="J60" s="12" t="n">
        <v>46217</v>
      </c>
      <c r="K60" s="10" t="n">
        <f aca="false">IF(J60="","",J60+14)</f>
        <v>46231</v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83</v>
      </c>
      <c r="D61" s="14" t="s">
        <v>31</v>
      </c>
      <c r="E61" s="10" t="n">
        <v>46218</v>
      </c>
      <c r="F61" s="11" t="s">
        <v>84</v>
      </c>
      <c r="G61" s="8"/>
      <c r="H61" s="8"/>
      <c r="I61" s="11" t="s">
        <v>85</v>
      </c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86</v>
      </c>
      <c r="C62" s="8" t="s">
        <v>87</v>
      </c>
      <c r="D62" s="13" t="s">
        <v>19</v>
      </c>
      <c r="E62" s="10"/>
      <c r="F62" s="11"/>
      <c r="G62" s="8"/>
      <c r="H62" s="8"/>
      <c r="I62" s="11"/>
      <c r="J62" s="12"/>
      <c r="K62" s="10" t="str">
        <f aca="false">IF(J62="","",J62+14)</f>
        <v/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86</v>
      </c>
      <c r="C63" s="8" t="s">
        <v>88</v>
      </c>
      <c r="D63" s="13" t="s">
        <v>19</v>
      </c>
      <c r="E63" s="10"/>
      <c r="F63" s="11"/>
      <c r="G63" s="8"/>
      <c r="H63" s="8"/>
      <c r="I63" s="11"/>
      <c r="J63" s="12"/>
      <c r="K63" s="10" t="str">
        <f aca="false">IF(J63="","",J63+14)</f>
        <v/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86</v>
      </c>
      <c r="C64" s="8" t="s">
        <v>89</v>
      </c>
      <c r="D64" s="14" t="s">
        <v>31</v>
      </c>
      <c r="E64" s="10"/>
      <c r="F64" s="11"/>
      <c r="G64" s="8"/>
      <c r="H64" s="8"/>
      <c r="I64" s="11"/>
      <c r="J64" s="12"/>
      <c r="K64" s="10" t="str">
        <f aca="false">IF(J64="","",J64+14)</f>
        <v/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90</v>
      </c>
      <c r="C65" s="8" t="s">
        <v>91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90</v>
      </c>
      <c r="C66" s="8" t="s">
        <v>92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90</v>
      </c>
      <c r="C67" s="8" t="s">
        <v>93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90</v>
      </c>
      <c r="C68" s="8" t="s">
        <v>94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90</v>
      </c>
      <c r="C69" s="8" t="s">
        <v>95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90</v>
      </c>
      <c r="C70" s="8" t="s">
        <v>96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90</v>
      </c>
      <c r="C71" s="8" t="s">
        <v>97</v>
      </c>
      <c r="D71" s="14" t="s">
        <v>31</v>
      </c>
      <c r="E71" s="10" t="n">
        <v>46219</v>
      </c>
      <c r="F71" s="11" t="s">
        <v>79</v>
      </c>
      <c r="G71" s="8"/>
      <c r="H71" s="8"/>
      <c r="I71" s="11" t="s">
        <v>80</v>
      </c>
      <c r="J71" s="12" t="n">
        <v>46219</v>
      </c>
      <c r="K71" s="10" t="n">
        <f aca="false">IF(J71="","",J71+14)</f>
        <v>46233</v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98</v>
      </c>
      <c r="C72" s="8" t="s">
        <v>99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98</v>
      </c>
      <c r="C73" s="8" t="s">
        <v>100</v>
      </c>
      <c r="D73" s="13" t="s">
        <v>19</v>
      </c>
      <c r="E73" s="10"/>
      <c r="F73" s="11"/>
      <c r="G73" s="8"/>
      <c r="H73" s="8"/>
      <c r="I73" s="11"/>
      <c r="J73" s="12"/>
      <c r="K73" s="10" t="str">
        <f aca="false">IF(J73="","",J73+14)</f>
        <v/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98</v>
      </c>
      <c r="C74" s="8" t="s">
        <v>101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98</v>
      </c>
      <c r="C75" s="8" t="s">
        <v>102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98</v>
      </c>
      <c r="C76" s="8" t="s">
        <v>103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98</v>
      </c>
      <c r="C77" s="8" t="s">
        <v>104</v>
      </c>
      <c r="D77" s="13" t="s">
        <v>19</v>
      </c>
      <c r="E77" s="10"/>
      <c r="F77" s="11"/>
      <c r="G77" s="8"/>
      <c r="H77" s="8"/>
      <c r="I77" s="11"/>
      <c r="J77" s="12"/>
      <c r="K77" s="10" t="str">
        <f aca="false">IF(J77="","",J77+14)</f>
        <v/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98</v>
      </c>
      <c r="C78" s="8" t="s">
        <v>105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98</v>
      </c>
      <c r="C79" s="8" t="s">
        <v>106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98</v>
      </c>
      <c r="C80" s="8" t="s">
        <v>107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108</v>
      </c>
      <c r="C81" s="8" t="s">
        <v>109</v>
      </c>
      <c r="D81" s="13" t="s">
        <v>19</v>
      </c>
      <c r="E81" s="10"/>
      <c r="F81" s="11"/>
      <c r="G81" s="8"/>
      <c r="H81" s="8"/>
      <c r="I81" s="11"/>
      <c r="J81" s="12"/>
      <c r="K81" s="10" t="str">
        <f aca="false">IF(J81="","",J81+14)</f>
        <v/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108</v>
      </c>
      <c r="C82" s="8" t="s">
        <v>110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108</v>
      </c>
      <c r="C83" s="8" t="s">
        <v>111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108</v>
      </c>
      <c r="C84" s="8" t="s">
        <v>112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108</v>
      </c>
      <c r="C85" s="8" t="s">
        <v>113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108</v>
      </c>
      <c r="C86" s="8" t="s">
        <v>114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108</v>
      </c>
      <c r="C87" s="8" t="s">
        <v>115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108</v>
      </c>
      <c r="C88" s="8" t="s">
        <v>116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108</v>
      </c>
      <c r="C89" s="8" t="s">
        <v>117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108</v>
      </c>
      <c r="C90" s="8" t="s">
        <v>118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108</v>
      </c>
      <c r="C91" s="8" t="s">
        <v>119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108</v>
      </c>
      <c r="C92" s="8" t="s">
        <v>120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108</v>
      </c>
      <c r="C93" s="8" t="s">
        <v>121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122</v>
      </c>
      <c r="C94" s="8" t="s">
        <v>123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122</v>
      </c>
      <c r="C95" s="8" t="s">
        <v>124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122</v>
      </c>
      <c r="C96" s="8" t="s">
        <v>125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122</v>
      </c>
      <c r="C97" s="8" t="s">
        <v>126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122</v>
      </c>
      <c r="C98" s="8" t="s">
        <v>127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122</v>
      </c>
      <c r="C99" s="8" t="s">
        <v>128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129</v>
      </c>
      <c r="C100" s="8" t="s">
        <v>130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129</v>
      </c>
      <c r="C101" s="8" t="s">
        <v>131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129</v>
      </c>
      <c r="C102" s="8" t="s">
        <v>132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129</v>
      </c>
      <c r="C103" s="8" t="s">
        <v>133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129</v>
      </c>
      <c r="C104" s="8" t="s">
        <v>134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129</v>
      </c>
      <c r="C105" s="8" t="s">
        <v>135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129</v>
      </c>
      <c r="C106" s="8" t="s">
        <v>136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129</v>
      </c>
      <c r="C107" s="8" t="s">
        <v>137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129</v>
      </c>
      <c r="C108" s="8" t="s">
        <v>138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129</v>
      </c>
      <c r="C109" s="8" t="s">
        <v>139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129</v>
      </c>
      <c r="C110" s="8" t="s">
        <v>140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129</v>
      </c>
      <c r="C111" s="8" t="s">
        <v>141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142</v>
      </c>
      <c r="C112" s="8" t="s">
        <v>143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142</v>
      </c>
      <c r="C113" s="8" t="s">
        <v>144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142</v>
      </c>
      <c r="C114" s="8" t="s">
        <v>145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142</v>
      </c>
      <c r="C115" s="8" t="s">
        <v>146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142</v>
      </c>
      <c r="C116" s="8" t="s">
        <v>147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142</v>
      </c>
      <c r="C117" s="8" t="s">
        <v>148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142</v>
      </c>
      <c r="C118" s="8" t="s">
        <v>149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142</v>
      </c>
      <c r="C119" s="8" t="s">
        <v>150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142</v>
      </c>
      <c r="C120" s="8" t="s">
        <v>151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142</v>
      </c>
      <c r="C121" s="8" t="s">
        <v>152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142</v>
      </c>
      <c r="C122" s="8" t="s">
        <v>153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154</v>
      </c>
      <c r="C123" s="8" t="s">
        <v>155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154</v>
      </c>
      <c r="C124" s="8" t="s">
        <v>156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154</v>
      </c>
      <c r="C125" s="8" t="s">
        <v>157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154</v>
      </c>
      <c r="C126" s="8" t="s">
        <v>158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154</v>
      </c>
      <c r="C127" s="8" t="s">
        <v>159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154</v>
      </c>
      <c r="C128" s="8" t="s">
        <v>160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154</v>
      </c>
      <c r="C129" s="8" t="s">
        <v>161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154</v>
      </c>
      <c r="C130" s="8" t="s">
        <v>162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163</v>
      </c>
      <c r="C131" s="8" t="s">
        <v>164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163</v>
      </c>
      <c r="C132" s="8" t="s">
        <v>165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163</v>
      </c>
      <c r="C133" s="8" t="s">
        <v>166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163</v>
      </c>
      <c r="C134" s="8" t="s">
        <v>167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163</v>
      </c>
      <c r="C135" s="8" t="s">
        <v>168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163</v>
      </c>
      <c r="C136" s="8" t="s">
        <v>169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170</v>
      </c>
      <c r="C137" s="8" t="s">
        <v>171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170</v>
      </c>
      <c r="C138" s="8" t="s">
        <v>172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170</v>
      </c>
      <c r="C139" s="8" t="s">
        <v>173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170</v>
      </c>
      <c r="C140" s="8" t="s">
        <v>174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170</v>
      </c>
      <c r="C141" s="8" t="s">
        <v>175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170</v>
      </c>
      <c r="C142" s="8" t="s">
        <v>176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170</v>
      </c>
      <c r="C143" s="8" t="s">
        <v>177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170</v>
      </c>
      <c r="C144" s="8" t="s">
        <v>178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179</v>
      </c>
      <c r="C145" s="8" t="s">
        <v>180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179</v>
      </c>
      <c r="C146" s="8" t="s">
        <v>181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179</v>
      </c>
      <c r="C147" s="8" t="s">
        <v>182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179</v>
      </c>
      <c r="C148" s="8" t="s">
        <v>183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179</v>
      </c>
      <c r="C149" s="8" t="s">
        <v>184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179</v>
      </c>
      <c r="C150" s="8" t="s">
        <v>185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179</v>
      </c>
      <c r="C151" s="8" t="s">
        <v>186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5" t="s">
        <v>187</v>
      </c>
    </row>
    <row r="3" customFormat="false" ht="15" hidden="false" customHeight="false" outlineLevel="0" collapsed="false">
      <c r="A3" s="16" t="s">
        <v>188</v>
      </c>
      <c r="B3" s="17" t="n">
        <f aca="false">COUNTA(Tracker!C2:C151)</f>
        <v>150</v>
      </c>
    </row>
    <row r="4" customFormat="false" ht="15" hidden="false" customHeight="false" outlineLevel="0" collapsed="false">
      <c r="A4" s="16" t="s">
        <v>85</v>
      </c>
      <c r="B4" s="17" t="n">
        <f aca="false">COUNTIF(Tracker!I2:I151,"Solved")</f>
        <v>1</v>
      </c>
    </row>
    <row r="5" customFormat="false" ht="15" hidden="false" customHeight="false" outlineLevel="0" collapsed="false">
      <c r="A5" s="16" t="s">
        <v>80</v>
      </c>
      <c r="B5" s="17" t="n">
        <f aca="false">COUNTIF(Tracker!I2:I151,"Solved with Help")</f>
        <v>4</v>
      </c>
    </row>
    <row r="6" customFormat="false" ht="15" hidden="false" customHeight="false" outlineLevel="0" collapsed="false">
      <c r="A6" s="16" t="s">
        <v>189</v>
      </c>
      <c r="B6" s="17" t="n">
        <f aca="false">COUNTIF(Tracker!I2:I151,"Attempted")</f>
        <v>0</v>
      </c>
    </row>
    <row r="7" customFormat="false" ht="15" hidden="false" customHeight="false" outlineLevel="0" collapsed="false">
      <c r="A7" s="16" t="s">
        <v>190</v>
      </c>
      <c r="B7" s="17" t="n">
        <f aca="false">COUNTA(Tracker!C2:C151)-COUNTIF(Tracker!I2:I151,"Solved")-COUNTIF(Tracker!I2:I151,"Solved with Help")-COUNTIF(Tracker!I2:I151,"Attempted")</f>
        <v>145</v>
      </c>
    </row>
    <row r="8" customFormat="false" ht="15" hidden="false" customHeight="false" outlineLevel="0" collapsed="false">
      <c r="A8" s="16" t="s">
        <v>191</v>
      </c>
      <c r="B8" s="18" t="n">
        <f aca="false">(COUNTIF(Tracker!I2:I151,"Solved")+COUNTIF(Tracker!I2:I151,"Solved with Help"))/COUNTA(Tracker!C2:C151)</f>
        <v>0.0333333333333333</v>
      </c>
    </row>
    <row r="9" customFormat="false" ht="15" hidden="false" customHeight="false" outlineLevel="0" collapsed="false">
      <c r="A9" s="16" t="s">
        <v>192</v>
      </c>
      <c r="B9" s="17" t="n">
        <f aca="true">COUNTIFS(Tracker!K2:K151,"&lt;="&amp;TODAY(),Tracker!K2:K151,"&lt;&gt;",Tracker!L2:L151,"&lt;&gt;Yes")</f>
        <v>0</v>
      </c>
    </row>
    <row r="11" customFormat="false" ht="15" hidden="false" customHeight="false" outlineLevel="0" collapsed="false">
      <c r="A11" s="19" t="s">
        <v>193</v>
      </c>
    </row>
    <row r="12" customFormat="false" ht="15" hidden="false" customHeight="false" outlineLevel="0" collapsed="false">
      <c r="A12" s="17" t="s">
        <v>15</v>
      </c>
      <c r="B12" s="17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7" t="s">
        <v>19</v>
      </c>
      <c r="B13" s="17" t="str">
        <f aca="false">COUNTIFS(Tracker!D2:D151,"Medium",Tracker!I2:I151,"Solved")&amp;"/"&amp;COUNTIF(Tracker!D2:D151,"Medium")</f>
        <v>0/101</v>
      </c>
    </row>
    <row r="14" customFormat="false" ht="15" hidden="false" customHeight="false" outlineLevel="0" collapsed="false">
      <c r="A14" s="17" t="s">
        <v>31</v>
      </c>
      <c r="B14" s="17" t="str">
        <f aca="false">COUNTIFS(Tracker!D2:D151,"Hard",Tracker!I2:I151,"Solved")&amp;"/"&amp;COUNTIF(Tracker!D2:D151,"Hard")</f>
        <v>1/21</v>
      </c>
    </row>
    <row r="16" customFormat="false" ht="15" hidden="false" customHeight="false" outlineLevel="0" collapsed="false">
      <c r="A16" s="19" t="s">
        <v>194</v>
      </c>
    </row>
    <row r="17" customFormat="false" ht="15" hidden="false" customHeight="false" outlineLevel="0" collapsed="false">
      <c r="A17" s="20" t="s">
        <v>195</v>
      </c>
    </row>
    <row r="18" customFormat="false" ht="15" hidden="false" customHeight="false" outlineLevel="0" collapsed="false">
      <c r="A18" s="20" t="s">
        <v>196</v>
      </c>
    </row>
    <row r="19" customFormat="false" ht="15" hidden="false" customHeight="false" outlineLevel="0" collapsed="false">
      <c r="A19" s="20" t="s">
        <v>197</v>
      </c>
    </row>
    <row r="20" customFormat="false" ht="15" hidden="false" customHeight="false" outlineLevel="0" collapsed="false">
      <c r="A20" s="20" t="s">
        <v>198</v>
      </c>
    </row>
    <row r="21" customFormat="false" ht="15" hidden="false" customHeight="false" outlineLevel="0" collapsed="false">
      <c r="A21" s="20" t="s">
        <v>199</v>
      </c>
    </row>
    <row r="22" customFormat="false" ht="15" hidden="false" customHeight="false" outlineLevel="0" collapsed="false">
      <c r="A22" s="20" t="s">
        <v>200</v>
      </c>
    </row>
    <row r="23" customFormat="false" ht="15" hidden="false" customHeight="false" outlineLevel="0" collapsed="false">
      <c r="A23" s="20" t="s">
        <v>201</v>
      </c>
    </row>
    <row r="24" customFormat="false" ht="15" hidden="false" customHeight="false" outlineLevel="0" collapsed="false">
      <c r="A24" s="20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2026-07-16T19:56:22Z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