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cker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<sst xmlns="http://schemas.openxmlformats.org/spreadsheetml/2006/main" count="500" uniqueCount="203">
  <si>
    <t xml:space="preserve">#</t>
  </si>
  <si>
    <t xml:space="preserve">Pattern</t>
  </si>
  <si>
    <t xml:space="preserve">Problem</t>
  </si>
  <si>
    <t xml:space="preserve">Difficulty</t>
  </si>
  <si>
    <t xml:space="preserve">Date Attempted</t>
  </si>
  <si>
    <t xml:space="preserve">Solved First Try?</t>
  </si>
  <si>
    <t xml:space="preserve">Time Complexity</t>
  </si>
  <si>
    <t xml:space="preserve">Space Complexity</t>
  </si>
  <si>
    <t xml:space="preserve">Status</t>
  </si>
  <si>
    <t xml:space="preserve">Date Flagged</t>
  </si>
  <si>
    <t xml:space="preserve">Review Due (2wk)</t>
  </si>
  <si>
    <t xml:space="preserve">Reviewed Cold?</t>
  </si>
  <si>
    <t xml:space="preserve">Notes</t>
  </si>
  <si>
    <t xml:space="preserve">Arrays &amp; Hashing</t>
  </si>
  <si>
    <t xml:space="preserve">Contains Duplicate</t>
  </si>
  <si>
    <t xml:space="preserve">Easy</t>
  </si>
  <si>
    <t xml:space="preserve">Valid Anagram</t>
  </si>
  <si>
    <t xml:space="preserve">Two Sum</t>
  </si>
  <si>
    <t xml:space="preserve">Group Anagrams</t>
  </si>
  <si>
    <t xml:space="preserve">Medium</t>
  </si>
  <si>
    <t xml:space="preserve">Top K Frequent Elements</t>
  </si>
  <si>
    <t xml:space="preserve">Encode and Decode Strings</t>
  </si>
  <si>
    <t xml:space="preserve">Product of Array Except Self</t>
  </si>
  <si>
    <t xml:space="preserve">Valid Sudoku</t>
  </si>
  <si>
    <t xml:space="preserve">Longest Consecutive Sequence</t>
  </si>
  <si>
    <t xml:space="preserve">Two Pointers</t>
  </si>
  <si>
    <t xml:space="preserve">Valid Palindrome</t>
  </si>
  <si>
    <t xml:space="preserve">Two Sum II Input Array Is Sorted</t>
  </si>
  <si>
    <t xml:space="preserve">3Sum</t>
  </si>
  <si>
    <t xml:space="preserve">Container With Most Water</t>
  </si>
  <si>
    <t xml:space="preserve">Trapping Rain Water</t>
  </si>
  <si>
    <t xml:space="preserve">Hard</t>
  </si>
  <si>
    <t xml:space="preserve">Sliding Window</t>
  </si>
  <si>
    <t xml:space="preserve">Best Time to Buy and Sell Stock</t>
  </si>
  <si>
    <t xml:space="preserve">Longest Substring Without Repeating Characters</t>
  </si>
  <si>
    <t xml:space="preserve">Longest Repeating Character Replacement</t>
  </si>
  <si>
    <t xml:space="preserve">Permutation in String</t>
  </si>
  <si>
    <t xml:space="preserve">Minimum Window Substring</t>
  </si>
  <si>
    <t xml:space="preserve">Sliding Window Maximum</t>
  </si>
  <si>
    <t xml:space="preserve">Stack</t>
  </si>
  <si>
    <t xml:space="preserve">Valid Parentheses</t>
  </si>
  <si>
    <t xml:space="preserve">Min Stack</t>
  </si>
  <si>
    <t xml:space="preserve">Evaluate Reverse Polish Notation</t>
  </si>
  <si>
    <t xml:space="preserve">Generate Parentheses</t>
  </si>
  <si>
    <t xml:space="preserve">Daily Temperatures</t>
  </si>
  <si>
    <t xml:space="preserve">Car Fleet</t>
  </si>
  <si>
    <t xml:space="preserve">Largest Rectangle in Histogram</t>
  </si>
  <si>
    <t xml:space="preserve">Binary Search</t>
  </si>
  <si>
    <t xml:space="preserve">Search a 2D Matrix</t>
  </si>
  <si>
    <t xml:space="preserve">Koko Eating Bananas</t>
  </si>
  <si>
    <t xml:space="preserve">Find Minimum in Rotated Sorted Array</t>
  </si>
  <si>
    <t xml:space="preserve">Search in Rotated Sorted Array</t>
  </si>
  <si>
    <t xml:space="preserve">Time Based Key-Value Store</t>
  </si>
  <si>
    <t xml:space="preserve">Median of Two Sorted Arrays</t>
  </si>
  <si>
    <t xml:space="preserve">Linked List</t>
  </si>
  <si>
    <t xml:space="preserve">Reverse Linked List</t>
  </si>
  <si>
    <t xml:space="preserve">Merge Two Sorted Lists</t>
  </si>
  <si>
    <t xml:space="preserve">Reorder List</t>
  </si>
  <si>
    <t xml:space="preserve">Remove Nth Node From End of List</t>
  </si>
  <si>
    <t xml:space="preserve">Copy List with Random Pointer</t>
  </si>
  <si>
    <t xml:space="preserve">Add Two Numbers</t>
  </si>
  <si>
    <t xml:space="preserve">Linked List Cycle</t>
  </si>
  <si>
    <t xml:space="preserve">Find the Duplicate Number</t>
  </si>
  <si>
    <t xml:space="preserve">LRU Cache</t>
  </si>
  <si>
    <t xml:space="preserve">Merge k Sorted Lists</t>
  </si>
  <si>
    <t xml:space="preserve">Reverse Nodes in k-Group</t>
  </si>
  <si>
    <t xml:space="preserve">Trees</t>
  </si>
  <si>
    <t xml:space="preserve">Invert Binary Tree</t>
  </si>
  <si>
    <t xml:space="preserve">Maximum Depth of Binary Tree</t>
  </si>
  <si>
    <t xml:space="preserve">Diameter of Binary Tree</t>
  </si>
  <si>
    <t xml:space="preserve">Balanced Binary Tree</t>
  </si>
  <si>
    <t xml:space="preserve">Same Tree</t>
  </si>
  <si>
    <t xml:space="preserve">Subtree of Another Tree</t>
  </si>
  <si>
    <t xml:space="preserve">Lowest Common Ancestor of a BST</t>
  </si>
  <si>
    <t xml:space="preserve">Binary Tree Level Order Traversal</t>
  </si>
  <si>
    <t xml:space="preserve">Binary Tree Right Side View</t>
  </si>
  <si>
    <t xml:space="preserve">Count Good Nodes in Binary Tree</t>
  </si>
  <si>
    <t xml:space="preserve">Validate Binary Search Tree</t>
  </si>
  <si>
    <t xml:space="preserve">Kth Smallest Element in a BST</t>
  </si>
  <si>
    <t xml:space="preserve">No</t>
  </si>
  <si>
    <t xml:space="preserve">Solved</t>
  </si>
  <si>
    <t xml:space="preserve">Construct Binary Tree from Preorder and Inorder Traversal</t>
  </si>
  <si>
    <t xml:space="preserve">Binary Tree Maximum Path Sum</t>
  </si>
  <si>
    <t xml:space="preserve">Solved with Help</t>
  </si>
  <si>
    <t xml:space="preserve">Serialize and Deserialize Binary Tree</t>
  </si>
  <si>
    <t xml:space="preserve">Yes</t>
  </si>
  <si>
    <t xml:space="preserve">Tries</t>
  </si>
  <si>
    <t xml:space="preserve">Implement Trie (Prefix Tree)</t>
  </si>
  <si>
    <t xml:space="preserve">Design Add and Search Words Data Structure</t>
  </si>
  <si>
    <t xml:space="preserve">Word Search II</t>
  </si>
  <si>
    <t xml:space="preserve">Heap / Priority Queue</t>
  </si>
  <si>
    <t xml:space="preserve">Kth Largest Element in a Stream</t>
  </si>
  <si>
    <t xml:space="preserve">Last Stone Weight</t>
  </si>
  <si>
    <t xml:space="preserve">K Closest Points to Origin</t>
  </si>
  <si>
    <t xml:space="preserve">Kth Largest Element in an Array</t>
  </si>
  <si>
    <t xml:space="preserve">Task Scheduler</t>
  </si>
  <si>
    <t xml:space="preserve">Design Twitter</t>
  </si>
  <si>
    <t xml:space="preserve">Find Median from Data Stream</t>
  </si>
  <si>
    <t xml:space="preserve">Backtracking</t>
  </si>
  <si>
    <t xml:space="preserve">Subsets</t>
  </si>
  <si>
    <t xml:space="preserve">Combination Sum</t>
  </si>
  <si>
    <t xml:space="preserve">Permutations</t>
  </si>
  <si>
    <t xml:space="preserve">Subsets II</t>
  </si>
  <si>
    <t xml:space="preserve">Combination Sum II</t>
  </si>
  <si>
    <t xml:space="preserve">Word Search</t>
  </si>
  <si>
    <t xml:space="preserve">Palindrome Partitioning</t>
  </si>
  <si>
    <t xml:space="preserve">Letter Combinations of a Phone Number</t>
  </si>
  <si>
    <t xml:space="preserve">N-Queens</t>
  </si>
  <si>
    <t xml:space="preserve">Graphs</t>
  </si>
  <si>
    <t xml:space="preserve">Number of Islands</t>
  </si>
  <si>
    <t xml:space="preserve">Clone Graph</t>
  </si>
  <si>
    <t xml:space="preserve">Max Area of Island</t>
  </si>
  <si>
    <t xml:space="preserve">Pacific Atlantic Water Flow</t>
  </si>
  <si>
    <t xml:space="preserve">Surrounded Regions</t>
  </si>
  <si>
    <t xml:space="preserve">Rotting Oranges</t>
  </si>
  <si>
    <t xml:space="preserve">Walls and Gates</t>
  </si>
  <si>
    <t xml:space="preserve">Course Schedule</t>
  </si>
  <si>
    <t xml:space="preserve">Course Schedule II</t>
  </si>
  <si>
    <t xml:space="preserve">Redundant Connection</t>
  </si>
  <si>
    <t xml:space="preserve">Number of Connected Components in an Undirected Graph</t>
  </si>
  <si>
    <t xml:space="preserve">Graph Valid Tree</t>
  </si>
  <si>
    <t xml:space="preserve">Word Ladder</t>
  </si>
  <si>
    <t xml:space="preserve">Advanced Graphs</t>
  </si>
  <si>
    <t xml:space="preserve">Reconstruct Itinerary</t>
  </si>
  <si>
    <t xml:space="preserve">Min Cost to Connect All Points</t>
  </si>
  <si>
    <t xml:space="preserve">Network Delay Time</t>
  </si>
  <si>
    <t xml:space="preserve">Swim in Rising Water</t>
  </si>
  <si>
    <t xml:space="preserve">Alien Dictionary</t>
  </si>
  <si>
    <t xml:space="preserve">Cheapest Flights Within K Stops</t>
  </si>
  <si>
    <t xml:space="preserve">1-D DP</t>
  </si>
  <si>
    <t xml:space="preserve">Climbing Stairs</t>
  </si>
  <si>
    <t xml:space="preserve">Min Cost Climbing Stairs</t>
  </si>
  <si>
    <t xml:space="preserve">House Robber</t>
  </si>
  <si>
    <t xml:space="preserve">House Robber II</t>
  </si>
  <si>
    <t xml:space="preserve">Longest Palindromic Substring</t>
  </si>
  <si>
    <t xml:space="preserve">Palindromic Substrings</t>
  </si>
  <si>
    <t xml:space="preserve">Decode Ways</t>
  </si>
  <si>
    <t xml:space="preserve">Coin Change</t>
  </si>
  <si>
    <t xml:space="preserve">Maximum Product Subarray</t>
  </si>
  <si>
    <t xml:space="preserve">Word Break</t>
  </si>
  <si>
    <t xml:space="preserve">Longest Increasing Subsequence</t>
  </si>
  <si>
    <t xml:space="preserve">Partition Equal Subset Sum</t>
  </si>
  <si>
    <t xml:space="preserve">2-D DP</t>
  </si>
  <si>
    <t xml:space="preserve">Unique Paths</t>
  </si>
  <si>
    <t xml:space="preserve">Longest Common Subsequence</t>
  </si>
  <si>
    <t xml:space="preserve">Best Time to Buy and Sell Stock with Cooldown</t>
  </si>
  <si>
    <t xml:space="preserve">Coin Change II</t>
  </si>
  <si>
    <t xml:space="preserve">Target Sum</t>
  </si>
  <si>
    <t xml:space="preserve">Interleaving String</t>
  </si>
  <si>
    <t xml:space="preserve">Longest Increasing Path in a Matrix</t>
  </si>
  <si>
    <t xml:space="preserve">Distinct Subsequences</t>
  </si>
  <si>
    <t xml:space="preserve">Edit Distance</t>
  </si>
  <si>
    <t xml:space="preserve">Burst Balloons</t>
  </si>
  <si>
    <t xml:space="preserve">Regular Expression Matching</t>
  </si>
  <si>
    <t xml:space="preserve">Greedy</t>
  </si>
  <si>
    <t xml:space="preserve">Maximum Subarray</t>
  </si>
  <si>
    <t xml:space="preserve">Jump Game</t>
  </si>
  <si>
    <t xml:space="preserve">Jump Game II</t>
  </si>
  <si>
    <t xml:space="preserve">Gas Station</t>
  </si>
  <si>
    <t xml:space="preserve">Hand of Straights</t>
  </si>
  <si>
    <t xml:space="preserve">Merge Triplets to Form Target Triplet</t>
  </si>
  <si>
    <t xml:space="preserve">Partition Labels</t>
  </si>
  <si>
    <t xml:space="preserve">Valid Parenthesis String</t>
  </si>
  <si>
    <t xml:space="preserve">Intervals</t>
  </si>
  <si>
    <t xml:space="preserve">Insert Interval</t>
  </si>
  <si>
    <t xml:space="preserve">Merge Intervals</t>
  </si>
  <si>
    <t xml:space="preserve">Non-overlapping Intervals</t>
  </si>
  <si>
    <t xml:space="preserve">Meeting Rooms</t>
  </si>
  <si>
    <t xml:space="preserve">Meeting Rooms II</t>
  </si>
  <si>
    <t xml:space="preserve">Minimum Interval to Include Each Query</t>
  </si>
  <si>
    <t xml:space="preserve">Math &amp; Geometry</t>
  </si>
  <si>
    <t xml:space="preserve">Rotate Image</t>
  </si>
  <si>
    <t xml:space="preserve">Spiral Matrix</t>
  </si>
  <si>
    <t xml:space="preserve">Set Matrix Zeroes</t>
  </si>
  <si>
    <t xml:space="preserve">Happy Number</t>
  </si>
  <si>
    <t xml:space="preserve">Plus One</t>
  </si>
  <si>
    <t xml:space="preserve">Pow(x, n)</t>
  </si>
  <si>
    <t xml:space="preserve">Multiply Strings</t>
  </si>
  <si>
    <t xml:space="preserve">Detect Squares</t>
  </si>
  <si>
    <t xml:space="preserve">Bit Manipulation</t>
  </si>
  <si>
    <t xml:space="preserve">Single Number</t>
  </si>
  <si>
    <t xml:space="preserve">Number of 1 Bits</t>
  </si>
  <si>
    <t xml:space="preserve">Counting Bits</t>
  </si>
  <si>
    <t xml:space="preserve">Reverse Bits</t>
  </si>
  <si>
    <t xml:space="preserve">Missing Number</t>
  </si>
  <si>
    <t xml:space="preserve">Sum of Two Integers</t>
  </si>
  <si>
    <t xml:space="preserve">Reverse Integer</t>
  </si>
  <si>
    <t xml:space="preserve">NeetCode 150 Progress</t>
  </si>
  <si>
    <t xml:space="preserve">Total Problems</t>
  </si>
  <si>
    <t xml:space="preserve">Attempted (not solved)</t>
  </si>
  <si>
    <t xml:space="preserve">Not Started</t>
  </si>
  <si>
    <t xml:space="preserve">% Complete (fully)</t>
  </si>
  <si>
    <t xml:space="preserve">Flagged for Sunday Review (overdue)</t>
  </si>
  <si>
    <t xml:space="preserve">By Difficulty</t>
  </si>
  <si>
    <t xml:space="preserve">How to use this tracker</t>
  </si>
  <si>
    <t xml:space="preserve">1. Attempt a problem. Fill Date Attempted.</t>
  </si>
  <si>
    <t xml:space="preserve">2. Solved it? Set Status = Solved, log Time/Space Complexity, move on.</t>
  </si>
  <si>
    <t xml:space="preserve">3. Didn't solve it? Read the solution fully, understand why it works,</t>
  </si>
  <si>
    <t xml:space="preserve">   close it, re-implement from scratch without copying.</t>
  </si>
  <si>
    <t xml:space="preserve">   Set Status = Solved with Help, and set Date Flagged = today.</t>
  </si>
  <si>
    <t xml:space="preserve">   Review Due auto-calculates as +14 days.</t>
  </si>
  <si>
    <t xml:space="preserve">4. Every Sunday: check Dashboard 'Flagged for Sunday Review (overdue)'.</t>
  </si>
  <si>
    <t xml:space="preserve">   Re-attempt those cold. If solved now, set Reviewed Cold? = Yes.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</si>
</sst>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&quot;. &quot;mmm&quot;. &quot;yyyy"/>
    <numFmt numFmtId="166" formatCode="d&quot;. &quot;mmmm\ yyyy"/>
    <numFmt numFmtId="167" formatCode="General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E7E6E6"/>
      </patternFill>
    </fill>
    <fill>
      <patternFill patternType="solid">
        <fgColor rgb="FFF4B6B6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  <dxf>
      <fill>
        <patternFill>
          <bgColor rgb="FFE7E6E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4B6B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5" activePane="bottomLeft" state="frozen"/>
      <selection pane="topLeft" activeCell="A1" activeCellId="0" sqref="A1"/>
      <selection pane="bottomLeft" activeCell="G65" activeCellId="0" sqref="G6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2" width="14"/>
    <col collapsed="false" customWidth="true" hidden="false" outlineLevel="0" max="6" min="6" style="3" width="16"/>
    <col collapsed="false" customWidth="true" hidden="false" outlineLevel="0" max="8" min="7" style="1" width="14"/>
    <col collapsed="false" customWidth="true" hidden="false" outlineLevel="0" max="9" min="9" style="3" width="16"/>
    <col collapsed="false" customWidth="true" hidden="false" outlineLevel="0" max="10" min="10" style="4" width="19.61"/>
    <col collapsed="false" customWidth="true" hidden="false" outlineLevel="0" max="11" min="11" style="2" width="15.44"/>
    <col collapsed="false" customWidth="true" hidden="false" outlineLevel="0" max="12" min="12" style="3" width="14"/>
    <col collapsed="false" customWidth="true" hidden="false" outlineLevel="0" max="13" min="13" style="1" width="30"/>
  </cols>
  <sheetData>
    <row r="1" customFormat="false" ht="28.3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6" t="s">
        <v>10</v>
      </c>
      <c r="L1" s="5" t="s">
        <v>11</v>
      </c>
      <c r="M1" s="5" t="s">
        <v>12</v>
      </c>
    </row>
    <row r="2" customFormat="false" ht="15" hidden="false" customHeight="false" outlineLevel="0" collapsed="false">
      <c r="A2" s="8" t="n">
        <v>1</v>
      </c>
      <c r="B2" s="8" t="s">
        <v>13</v>
      </c>
      <c r="C2" s="8" t="s">
        <v>14</v>
      </c>
      <c r="D2" s="9" t="s">
        <v>15</v>
      </c>
      <c r="E2" s="10"/>
      <c r="F2" s="11"/>
      <c r="G2" s="8"/>
      <c r="H2" s="8"/>
      <c r="I2" s="11"/>
      <c r="J2" s="12"/>
      <c r="K2" s="10" t="str">
        <f aca="false">IF(J2="","",J2+14)</f>
        <v/>
      </c>
      <c r="L2" s="11"/>
      <c r="M2" s="8"/>
    </row>
    <row r="3" customFormat="false" ht="15" hidden="false" customHeight="false" outlineLevel="0" collapsed="false">
      <c r="A3" s="8" t="n">
        <v>2</v>
      </c>
      <c r="B3" s="8" t="s">
        <v>13</v>
      </c>
      <c r="C3" s="8" t="s">
        <v>16</v>
      </c>
      <c r="D3" s="9" t="s">
        <v>15</v>
      </c>
      <c r="E3" s="10"/>
      <c r="F3" s="11"/>
      <c r="G3" s="8"/>
      <c r="H3" s="8"/>
      <c r="I3" s="11"/>
      <c r="J3" s="12"/>
      <c r="K3" s="10" t="str">
        <f aca="false">IF(J3="","",J3+14)</f>
        <v/>
      </c>
      <c r="L3" s="11"/>
      <c r="M3" s="8"/>
    </row>
    <row r="4" customFormat="false" ht="15" hidden="false" customHeight="false" outlineLevel="0" collapsed="false">
      <c r="A4" s="8" t="n">
        <v>3</v>
      </c>
      <c r="B4" s="8" t="s">
        <v>13</v>
      </c>
      <c r="C4" s="8" t="s">
        <v>17</v>
      </c>
      <c r="D4" s="9" t="s">
        <v>15</v>
      </c>
      <c r="E4" s="10"/>
      <c r="F4" s="11"/>
      <c r="G4" s="8"/>
      <c r="H4" s="8"/>
      <c r="I4" s="11"/>
      <c r="J4" s="12"/>
      <c r="K4" s="10" t="str">
        <f aca="false">IF(J4="","",J4+14)</f>
        <v/>
      </c>
      <c r="L4" s="11"/>
      <c r="M4" s="8"/>
    </row>
    <row r="5" customFormat="false" ht="15" hidden="false" customHeight="false" outlineLevel="0" collapsed="false">
      <c r="A5" s="8" t="n">
        <v>4</v>
      </c>
      <c r="B5" s="8" t="s">
        <v>13</v>
      </c>
      <c r="C5" s="8" t="s">
        <v>18</v>
      </c>
      <c r="D5" s="13" t="s">
        <v>19</v>
      </c>
      <c r="E5" s="10"/>
      <c r="F5" s="11"/>
      <c r="G5" s="8"/>
      <c r="H5" s="8"/>
      <c r="I5" s="11"/>
      <c r="J5" s="12"/>
      <c r="K5" s="10" t="str">
        <f aca="false">IF(J5="","",J5+14)</f>
        <v/>
      </c>
      <c r="L5" s="11"/>
      <c r="M5" s="8"/>
    </row>
    <row r="6" customFormat="false" ht="15" hidden="false" customHeight="false" outlineLevel="0" collapsed="false">
      <c r="A6" s="8" t="n">
        <v>5</v>
      </c>
      <c r="B6" s="8" t="s">
        <v>13</v>
      </c>
      <c r="C6" s="8" t="s">
        <v>20</v>
      </c>
      <c r="D6" s="13" t="s">
        <v>19</v>
      </c>
      <c r="E6" s="10"/>
      <c r="F6" s="11"/>
      <c r="G6" s="8"/>
      <c r="H6" s="8"/>
      <c r="I6" s="11"/>
      <c r="J6" s="12"/>
      <c r="K6" s="10" t="str">
        <f aca="false">IF(J6="","",J6+14)</f>
        <v/>
      </c>
      <c r="L6" s="11"/>
      <c r="M6" s="8"/>
    </row>
    <row r="7" customFormat="false" ht="15" hidden="false" customHeight="false" outlineLevel="0" collapsed="false">
      <c r="A7" s="8" t="n">
        <v>6</v>
      </c>
      <c r="B7" s="8" t="s">
        <v>13</v>
      </c>
      <c r="C7" s="8" t="s">
        <v>21</v>
      </c>
      <c r="D7" s="13" t="s">
        <v>19</v>
      </c>
      <c r="E7" s="10"/>
      <c r="F7" s="11"/>
      <c r="G7" s="8"/>
      <c r="H7" s="8"/>
      <c r="I7" s="11"/>
      <c r="J7" s="12"/>
      <c r="K7" s="10" t="str">
        <f aca="false">IF(J7="","",J7+14)</f>
        <v/>
      </c>
      <c r="L7" s="11"/>
      <c r="M7" s="8"/>
    </row>
    <row r="8" customFormat="false" ht="15" hidden="false" customHeight="false" outlineLevel="0" collapsed="false">
      <c r="A8" s="8" t="n">
        <v>7</v>
      </c>
      <c r="B8" s="8" t="s">
        <v>13</v>
      </c>
      <c r="C8" s="8" t="s">
        <v>22</v>
      </c>
      <c r="D8" s="13" t="s">
        <v>19</v>
      </c>
      <c r="E8" s="10"/>
      <c r="F8" s="11"/>
      <c r="G8" s="8"/>
      <c r="H8" s="8"/>
      <c r="I8" s="11"/>
      <c r="J8" s="12"/>
      <c r="K8" s="10" t="str">
        <f aca="false">IF(J8="","",J8+14)</f>
        <v/>
      </c>
      <c r="L8" s="11"/>
      <c r="M8" s="8"/>
    </row>
    <row r="9" customFormat="false" ht="15" hidden="false" customHeight="false" outlineLevel="0" collapsed="false">
      <c r="A9" s="8" t="n">
        <v>8</v>
      </c>
      <c r="B9" s="8" t="s">
        <v>13</v>
      </c>
      <c r="C9" s="8" t="s">
        <v>23</v>
      </c>
      <c r="D9" s="13" t="s">
        <v>19</v>
      </c>
      <c r="E9" s="10"/>
      <c r="F9" s="11"/>
      <c r="G9" s="8"/>
      <c r="H9" s="8"/>
      <c r="I9" s="11"/>
      <c r="J9" s="12"/>
      <c r="K9" s="10" t="str">
        <f aca="false">IF(J9="","",J9+14)</f>
        <v/>
      </c>
      <c r="L9" s="11"/>
      <c r="M9" s="8"/>
    </row>
    <row r="10" customFormat="false" ht="15" hidden="false" customHeight="false" outlineLevel="0" collapsed="false">
      <c r="A10" s="8" t="n">
        <v>9</v>
      </c>
      <c r="B10" s="8" t="s">
        <v>13</v>
      </c>
      <c r="C10" s="8" t="s">
        <v>24</v>
      </c>
      <c r="D10" s="13" t="s">
        <v>19</v>
      </c>
      <c r="E10" s="10"/>
      <c r="F10" s="11"/>
      <c r="G10" s="8"/>
      <c r="H10" s="8"/>
      <c r="I10" s="11"/>
      <c r="J10" s="12"/>
      <c r="K10" s="10" t="str">
        <f aca="false">IF(J10="","",J10+14)</f>
        <v/>
      </c>
      <c r="L10" s="11"/>
      <c r="M10" s="8"/>
    </row>
    <row r="11" customFormat="false" ht="15" hidden="false" customHeight="false" outlineLevel="0" collapsed="false">
      <c r="A11" s="8" t="n">
        <v>10</v>
      </c>
      <c r="B11" s="8" t="s">
        <v>25</v>
      </c>
      <c r="C11" s="8" t="s">
        <v>26</v>
      </c>
      <c r="D11" s="9" t="s">
        <v>15</v>
      </c>
      <c r="E11" s="10"/>
      <c r="F11" s="11"/>
      <c r="G11" s="8"/>
      <c r="H11" s="8"/>
      <c r="I11" s="11"/>
      <c r="J11" s="12"/>
      <c r="K11" s="10" t="str">
        <f aca="false">IF(J11="","",J11+14)</f>
        <v/>
      </c>
      <c r="L11" s="11"/>
      <c r="M11" s="8"/>
    </row>
    <row r="12" customFormat="false" ht="15" hidden="false" customHeight="false" outlineLevel="0" collapsed="false">
      <c r="A12" s="8" t="n">
        <v>11</v>
      </c>
      <c r="B12" s="8" t="s">
        <v>25</v>
      </c>
      <c r="C12" s="8" t="s">
        <v>27</v>
      </c>
      <c r="D12" s="13" t="s">
        <v>19</v>
      </c>
      <c r="E12" s="10"/>
      <c r="F12" s="11"/>
      <c r="G12" s="8"/>
      <c r="H12" s="8"/>
      <c r="I12" s="11"/>
      <c r="J12" s="12"/>
      <c r="K12" s="10" t="str">
        <f aca="false">IF(J12="","",J12+14)</f>
        <v/>
      </c>
      <c r="L12" s="11"/>
      <c r="M12" s="8"/>
    </row>
    <row r="13" customFormat="false" ht="15" hidden="false" customHeight="false" outlineLevel="0" collapsed="false">
      <c r="A13" s="8" t="n">
        <v>12</v>
      </c>
      <c r="B13" s="8" t="s">
        <v>25</v>
      </c>
      <c r="C13" s="8" t="s">
        <v>28</v>
      </c>
      <c r="D13" s="13" t="s">
        <v>19</v>
      </c>
      <c r="E13" s="10"/>
      <c r="F13" s="11"/>
      <c r="G13" s="8"/>
      <c r="H13" s="8"/>
      <c r="I13" s="11"/>
      <c r="J13" s="12"/>
      <c r="K13" s="10" t="str">
        <f aca="false">IF(J13="","",J13+14)</f>
        <v/>
      </c>
      <c r="L13" s="11"/>
      <c r="M13" s="8"/>
    </row>
    <row r="14" customFormat="false" ht="15" hidden="false" customHeight="false" outlineLevel="0" collapsed="false">
      <c r="A14" s="8" t="n">
        <v>13</v>
      </c>
      <c r="B14" s="8" t="s">
        <v>25</v>
      </c>
      <c r="C14" s="8" t="s">
        <v>29</v>
      </c>
      <c r="D14" s="13" t="s">
        <v>19</v>
      </c>
      <c r="E14" s="10"/>
      <c r="F14" s="11"/>
      <c r="G14" s="8"/>
      <c r="H14" s="8"/>
      <c r="I14" s="11"/>
      <c r="J14" s="12"/>
      <c r="K14" s="10" t="str">
        <f aca="false">IF(J14="","",J14+14)</f>
        <v/>
      </c>
      <c r="L14" s="11"/>
      <c r="M14" s="8"/>
    </row>
    <row r="15" customFormat="false" ht="15" hidden="false" customHeight="false" outlineLevel="0" collapsed="false">
      <c r="A15" s="8" t="n">
        <v>14</v>
      </c>
      <c r="B15" s="8" t="s">
        <v>25</v>
      </c>
      <c r="C15" s="8" t="s">
        <v>30</v>
      </c>
      <c r="D15" s="14" t="s">
        <v>31</v>
      </c>
      <c r="E15" s="10"/>
      <c r="F15" s="11"/>
      <c r="G15" s="8"/>
      <c r="H15" s="8"/>
      <c r="I15" s="11"/>
      <c r="J15" s="12"/>
      <c r="K15" s="10" t="str">
        <f aca="false">IF(J15="","",J15+14)</f>
        <v/>
      </c>
      <c r="L15" s="11"/>
      <c r="M15" s="8"/>
    </row>
    <row r="16" customFormat="false" ht="15" hidden="false" customHeight="false" outlineLevel="0" collapsed="false">
      <c r="A16" s="8" t="n">
        <v>15</v>
      </c>
      <c r="B16" s="8" t="s">
        <v>32</v>
      </c>
      <c r="C16" s="8" t="s">
        <v>33</v>
      </c>
      <c r="D16" s="9" t="s">
        <v>15</v>
      </c>
      <c r="E16" s="10"/>
      <c r="F16" s="11"/>
      <c r="G16" s="8"/>
      <c r="H16" s="8"/>
      <c r="I16" s="11"/>
      <c r="J16" s="12"/>
      <c r="K16" s="10" t="str">
        <f aca="false">IF(J16="","",J16+14)</f>
        <v/>
      </c>
      <c r="L16" s="11"/>
      <c r="M16" s="8"/>
    </row>
    <row r="17" customFormat="false" ht="15" hidden="false" customHeight="false" outlineLevel="0" collapsed="false">
      <c r="A17" s="8" t="n">
        <v>16</v>
      </c>
      <c r="B17" s="8" t="s">
        <v>32</v>
      </c>
      <c r="C17" s="8" t="s">
        <v>34</v>
      </c>
      <c r="D17" s="13" t="s">
        <v>19</v>
      </c>
      <c r="E17" s="10"/>
      <c r="F17" s="11"/>
      <c r="G17" s="8"/>
      <c r="H17" s="8"/>
      <c r="I17" s="11"/>
      <c r="J17" s="12"/>
      <c r="K17" s="10" t="str">
        <f aca="false">IF(J17="","",J17+14)</f>
        <v/>
      </c>
      <c r="L17" s="11"/>
      <c r="M17" s="8"/>
    </row>
    <row r="18" customFormat="false" ht="15" hidden="false" customHeight="false" outlineLevel="0" collapsed="false">
      <c r="A18" s="8" t="n">
        <v>17</v>
      </c>
      <c r="B18" s="8" t="s">
        <v>32</v>
      </c>
      <c r="C18" s="8" t="s">
        <v>35</v>
      </c>
      <c r="D18" s="13" t="s">
        <v>19</v>
      </c>
      <c r="E18" s="10"/>
      <c r="F18" s="11"/>
      <c r="G18" s="8"/>
      <c r="H18" s="8"/>
      <c r="I18" s="11"/>
      <c r="J18" s="12"/>
      <c r="K18" s="10" t="str">
        <f aca="false">IF(J18="","",J18+14)</f>
        <v/>
      </c>
      <c r="L18" s="11"/>
      <c r="M18" s="8"/>
    </row>
    <row r="19" customFormat="false" ht="15" hidden="false" customHeight="false" outlineLevel="0" collapsed="false">
      <c r="A19" s="8" t="n">
        <v>18</v>
      </c>
      <c r="B19" s="8" t="s">
        <v>32</v>
      </c>
      <c r="C19" s="8" t="s">
        <v>36</v>
      </c>
      <c r="D19" s="13" t="s">
        <v>19</v>
      </c>
      <c r="E19" s="10"/>
      <c r="F19" s="11"/>
      <c r="G19" s="8"/>
      <c r="H19" s="8"/>
      <c r="I19" s="11"/>
      <c r="J19" s="12"/>
      <c r="K19" s="10" t="str">
        <f aca="false">IF(J19="","",J19+14)</f>
        <v/>
      </c>
      <c r="L19" s="11"/>
      <c r="M19" s="8"/>
    </row>
    <row r="20" customFormat="false" ht="15" hidden="false" customHeight="false" outlineLevel="0" collapsed="false">
      <c r="A20" s="8" t="n">
        <v>19</v>
      </c>
      <c r="B20" s="8" t="s">
        <v>32</v>
      </c>
      <c r="C20" s="8" t="s">
        <v>37</v>
      </c>
      <c r="D20" s="14" t="s">
        <v>31</v>
      </c>
      <c r="E20" s="10"/>
      <c r="F20" s="11"/>
      <c r="G20" s="8"/>
      <c r="H20" s="8"/>
      <c r="I20" s="11"/>
      <c r="J20" s="12"/>
      <c r="K20" s="10" t="str">
        <f aca="false">IF(J20="","",J20+14)</f>
        <v/>
      </c>
      <c r="L20" s="11"/>
      <c r="M20" s="8"/>
    </row>
    <row r="21" customFormat="false" ht="15" hidden="false" customHeight="false" outlineLevel="0" collapsed="false">
      <c r="A21" s="8" t="n">
        <v>20</v>
      </c>
      <c r="B21" s="8" t="s">
        <v>32</v>
      </c>
      <c r="C21" s="8" t="s">
        <v>38</v>
      </c>
      <c r="D21" s="14" t="s">
        <v>31</v>
      </c>
      <c r="E21" s="10"/>
      <c r="F21" s="11"/>
      <c r="G21" s="8"/>
      <c r="H21" s="8"/>
      <c r="I21" s="11"/>
      <c r="J21" s="12"/>
      <c r="K21" s="10" t="str">
        <f aca="false">IF(J21="","",J21+14)</f>
        <v/>
      </c>
      <c r="L21" s="11"/>
      <c r="M21" s="8"/>
    </row>
    <row r="22" customFormat="false" ht="15" hidden="false" customHeight="false" outlineLevel="0" collapsed="false">
      <c r="A22" s="8" t="n">
        <v>21</v>
      </c>
      <c r="B22" s="8" t="s">
        <v>39</v>
      </c>
      <c r="C22" s="8" t="s">
        <v>40</v>
      </c>
      <c r="D22" s="9" t="s">
        <v>15</v>
      </c>
      <c r="E22" s="10"/>
      <c r="F22" s="11"/>
      <c r="G22" s="8"/>
      <c r="H22" s="8"/>
      <c r="I22" s="11"/>
      <c r="J22" s="12"/>
      <c r="K22" s="10" t="str">
        <f aca="false">IF(J22="","",J22+14)</f>
        <v/>
      </c>
      <c r="L22" s="11"/>
      <c r="M22" s="8"/>
    </row>
    <row r="23" customFormat="false" ht="15" hidden="false" customHeight="false" outlineLevel="0" collapsed="false">
      <c r="A23" s="8" t="n">
        <v>22</v>
      </c>
      <c r="B23" s="8" t="s">
        <v>39</v>
      </c>
      <c r="C23" s="8" t="s">
        <v>41</v>
      </c>
      <c r="D23" s="13" t="s">
        <v>19</v>
      </c>
      <c r="E23" s="10"/>
      <c r="F23" s="11"/>
      <c r="G23" s="8"/>
      <c r="H23" s="8"/>
      <c r="I23" s="11"/>
      <c r="J23" s="12"/>
      <c r="K23" s="10" t="str">
        <f aca="false">IF(J23="","",J23+14)</f>
        <v/>
      </c>
      <c r="L23" s="11"/>
      <c r="M23" s="8"/>
    </row>
    <row r="24" customFormat="false" ht="15" hidden="false" customHeight="false" outlineLevel="0" collapsed="false">
      <c r="A24" s="8" t="n">
        <v>23</v>
      </c>
      <c r="B24" s="8" t="s">
        <v>39</v>
      </c>
      <c r="C24" s="8" t="s">
        <v>42</v>
      </c>
      <c r="D24" s="13" t="s">
        <v>19</v>
      </c>
      <c r="E24" s="10"/>
      <c r="F24" s="11"/>
      <c r="G24" s="8"/>
      <c r="H24" s="8"/>
      <c r="I24" s="11"/>
      <c r="J24" s="12"/>
      <c r="K24" s="10" t="str">
        <f aca="false">IF(J24="","",J24+14)</f>
        <v/>
      </c>
      <c r="L24" s="11"/>
      <c r="M24" s="8"/>
    </row>
    <row r="25" customFormat="false" ht="15" hidden="false" customHeight="false" outlineLevel="0" collapsed="false">
      <c r="A25" s="8" t="n">
        <v>24</v>
      </c>
      <c r="B25" s="8" t="s">
        <v>39</v>
      </c>
      <c r="C25" s="8" t="s">
        <v>43</v>
      </c>
      <c r="D25" s="13" t="s">
        <v>19</v>
      </c>
      <c r="E25" s="10"/>
      <c r="F25" s="11"/>
      <c r="G25" s="8"/>
      <c r="H25" s="8"/>
      <c r="I25" s="11"/>
      <c r="J25" s="12"/>
      <c r="K25" s="10" t="str">
        <f aca="false">IF(J25="","",J25+14)</f>
        <v/>
      </c>
      <c r="L25" s="11"/>
      <c r="M25" s="8"/>
    </row>
    <row r="26" customFormat="false" ht="15" hidden="false" customHeight="false" outlineLevel="0" collapsed="false">
      <c r="A26" s="8" t="n">
        <v>25</v>
      </c>
      <c r="B26" s="8" t="s">
        <v>39</v>
      </c>
      <c r="C26" s="8" t="s">
        <v>44</v>
      </c>
      <c r="D26" s="13" t="s">
        <v>19</v>
      </c>
      <c r="E26" s="10"/>
      <c r="F26" s="11"/>
      <c r="G26" s="8"/>
      <c r="H26" s="8"/>
      <c r="I26" s="11"/>
      <c r="J26" s="12"/>
      <c r="K26" s="10" t="str">
        <f aca="false">IF(J26="","",J26+14)</f>
        <v/>
      </c>
      <c r="L26" s="11"/>
      <c r="M26" s="8"/>
    </row>
    <row r="27" customFormat="false" ht="15" hidden="false" customHeight="false" outlineLevel="0" collapsed="false">
      <c r="A27" s="8" t="n">
        <v>26</v>
      </c>
      <c r="B27" s="8" t="s">
        <v>39</v>
      </c>
      <c r="C27" s="8" t="s">
        <v>45</v>
      </c>
      <c r="D27" s="13" t="s">
        <v>19</v>
      </c>
      <c r="E27" s="10"/>
      <c r="F27" s="11"/>
      <c r="G27" s="8"/>
      <c r="H27" s="8"/>
      <c r="I27" s="11"/>
      <c r="J27" s="12"/>
      <c r="K27" s="10" t="str">
        <f aca="false">IF(J27="","",J27+14)</f>
        <v/>
      </c>
      <c r="L27" s="11"/>
      <c r="M27" s="8"/>
    </row>
    <row r="28" customFormat="false" ht="15" hidden="false" customHeight="false" outlineLevel="0" collapsed="false">
      <c r="A28" s="8" t="n">
        <v>27</v>
      </c>
      <c r="B28" s="8" t="s">
        <v>39</v>
      </c>
      <c r="C28" s="8" t="s">
        <v>46</v>
      </c>
      <c r="D28" s="14" t="s">
        <v>31</v>
      </c>
      <c r="E28" s="10"/>
      <c r="F28" s="11"/>
      <c r="G28" s="8"/>
      <c r="H28" s="8"/>
      <c r="I28" s="11"/>
      <c r="J28" s="12"/>
      <c r="K28" s="10" t="str">
        <f aca="false">IF(J28="","",J28+14)</f>
        <v/>
      </c>
      <c r="L28" s="11"/>
      <c r="M28" s="8"/>
    </row>
    <row r="29" customFormat="false" ht="15" hidden="false" customHeight="false" outlineLevel="0" collapsed="false">
      <c r="A29" s="8" t="n">
        <v>28</v>
      </c>
      <c r="B29" s="8" t="s">
        <v>47</v>
      </c>
      <c r="C29" s="8" t="s">
        <v>47</v>
      </c>
      <c r="D29" s="9" t="s">
        <v>15</v>
      </c>
      <c r="E29" s="10"/>
      <c r="F29" s="11"/>
      <c r="G29" s="8"/>
      <c r="H29" s="8"/>
      <c r="I29" s="11"/>
      <c r="J29" s="12"/>
      <c r="K29" s="10" t="str">
        <f aca="false">IF(J29="","",J29+14)</f>
        <v/>
      </c>
      <c r="L29" s="11"/>
      <c r="M29" s="8"/>
    </row>
    <row r="30" customFormat="false" ht="15" hidden="false" customHeight="false" outlineLevel="0" collapsed="false">
      <c r="A30" s="8" t="n">
        <v>29</v>
      </c>
      <c r="B30" s="8" t="s">
        <v>47</v>
      </c>
      <c r="C30" s="8" t="s">
        <v>48</v>
      </c>
      <c r="D30" s="13" t="s">
        <v>19</v>
      </c>
      <c r="E30" s="10"/>
      <c r="F30" s="11"/>
      <c r="G30" s="8"/>
      <c r="H30" s="8"/>
      <c r="I30" s="11"/>
      <c r="J30" s="12"/>
      <c r="K30" s="10" t="str">
        <f aca="false">IF(J30="","",J30+14)</f>
        <v/>
      </c>
      <c r="L30" s="11"/>
      <c r="M30" s="8"/>
    </row>
    <row r="31" customFormat="false" ht="15" hidden="false" customHeight="false" outlineLevel="0" collapsed="false">
      <c r="A31" s="8" t="n">
        <v>30</v>
      </c>
      <c r="B31" s="8" t="s">
        <v>47</v>
      </c>
      <c r="C31" s="8" t="s">
        <v>49</v>
      </c>
      <c r="D31" s="13" t="s">
        <v>19</v>
      </c>
      <c r="E31" s="10"/>
      <c r="F31" s="11"/>
      <c r="G31" s="8"/>
      <c r="H31" s="8"/>
      <c r="I31" s="11"/>
      <c r="J31" s="12"/>
      <c r="K31" s="10" t="str">
        <f aca="false">IF(J31="","",J31+14)</f>
        <v/>
      </c>
      <c r="L31" s="11"/>
      <c r="M31" s="8"/>
    </row>
    <row r="32" customFormat="false" ht="15" hidden="false" customHeight="false" outlineLevel="0" collapsed="false">
      <c r="A32" s="8" t="n">
        <v>31</v>
      </c>
      <c r="B32" s="8" t="s">
        <v>47</v>
      </c>
      <c r="C32" s="8" t="s">
        <v>50</v>
      </c>
      <c r="D32" s="13" t="s">
        <v>19</v>
      </c>
      <c r="E32" s="10"/>
      <c r="F32" s="11"/>
      <c r="G32" s="8"/>
      <c r="H32" s="8"/>
      <c r="I32" s="11"/>
      <c r="J32" s="12"/>
      <c r="K32" s="10" t="str">
        <f aca="false">IF(J32="","",J32+14)</f>
        <v/>
      </c>
      <c r="L32" s="11"/>
      <c r="M32" s="8"/>
    </row>
    <row r="33" customFormat="false" ht="15" hidden="false" customHeight="false" outlineLevel="0" collapsed="false">
      <c r="A33" s="8" t="n">
        <v>32</v>
      </c>
      <c r="B33" s="8" t="s">
        <v>47</v>
      </c>
      <c r="C33" s="8" t="s">
        <v>51</v>
      </c>
      <c r="D33" s="13" t="s">
        <v>19</v>
      </c>
      <c r="E33" s="10"/>
      <c r="F33" s="11"/>
      <c r="G33" s="8"/>
      <c r="H33" s="8"/>
      <c r="I33" s="11"/>
      <c r="J33" s="12"/>
      <c r="K33" s="10" t="str">
        <f aca="false">IF(J33="","",J33+14)</f>
        <v/>
      </c>
      <c r="L33" s="11"/>
      <c r="M33" s="8"/>
    </row>
    <row r="34" customFormat="false" ht="15" hidden="false" customHeight="false" outlineLevel="0" collapsed="false">
      <c r="A34" s="8" t="n">
        <v>33</v>
      </c>
      <c r="B34" s="8" t="s">
        <v>47</v>
      </c>
      <c r="C34" s="8" t="s">
        <v>52</v>
      </c>
      <c r="D34" s="13" t="s">
        <v>19</v>
      </c>
      <c r="E34" s="10"/>
      <c r="F34" s="11"/>
      <c r="G34" s="8"/>
      <c r="H34" s="8"/>
      <c r="I34" s="11"/>
      <c r="J34" s="12"/>
      <c r="K34" s="10" t="str">
        <f aca="false">IF(J34="","",J34+14)</f>
        <v/>
      </c>
      <c r="L34" s="11"/>
      <c r="M34" s="8"/>
    </row>
    <row r="35" customFormat="false" ht="15" hidden="false" customHeight="false" outlineLevel="0" collapsed="false">
      <c r="A35" s="8" t="n">
        <v>34</v>
      </c>
      <c r="B35" s="8" t="s">
        <v>47</v>
      </c>
      <c r="C35" s="8" t="s">
        <v>53</v>
      </c>
      <c r="D35" s="14" t="s">
        <v>31</v>
      </c>
      <c r="E35" s="10"/>
      <c r="F35" s="11"/>
      <c r="G35" s="8"/>
      <c r="H35" s="8"/>
      <c r="I35" s="11"/>
      <c r="J35" s="12"/>
      <c r="K35" s="10" t="str">
        <f aca="false">IF(J35="","",J35+14)</f>
        <v/>
      </c>
      <c r="L35" s="11"/>
      <c r="M35" s="8"/>
    </row>
    <row r="36" customFormat="false" ht="15" hidden="false" customHeight="false" outlineLevel="0" collapsed="false">
      <c r="A36" s="8" t="n">
        <v>35</v>
      </c>
      <c r="B36" s="8" t="s">
        <v>54</v>
      </c>
      <c r="C36" s="8" t="s">
        <v>55</v>
      </c>
      <c r="D36" s="9" t="s">
        <v>15</v>
      </c>
      <c r="E36" s="10"/>
      <c r="F36" s="11"/>
      <c r="G36" s="8"/>
      <c r="H36" s="8"/>
      <c r="I36" s="11"/>
      <c r="J36" s="12"/>
      <c r="K36" s="10" t="str">
        <f aca="false">IF(J36="","",J36+14)</f>
        <v/>
      </c>
      <c r="L36" s="11"/>
      <c r="M36" s="8"/>
    </row>
    <row r="37" customFormat="false" ht="15" hidden="false" customHeight="false" outlineLevel="0" collapsed="false">
      <c r="A37" s="8" t="n">
        <v>36</v>
      </c>
      <c r="B37" s="8" t="s">
        <v>54</v>
      </c>
      <c r="C37" s="8" t="s">
        <v>56</v>
      </c>
      <c r="D37" s="9" t="s">
        <v>15</v>
      </c>
      <c r="E37" s="10"/>
      <c r="F37" s="11"/>
      <c r="G37" s="8"/>
      <c r="H37" s="8"/>
      <c r="I37" s="11"/>
      <c r="J37" s="12"/>
      <c r="K37" s="10" t="str">
        <f aca="false">IF(J37="","",J37+14)</f>
        <v/>
      </c>
      <c r="L37" s="11"/>
      <c r="M37" s="8"/>
    </row>
    <row r="38" customFormat="false" ht="15" hidden="false" customHeight="false" outlineLevel="0" collapsed="false">
      <c r="A38" s="8" t="n">
        <v>37</v>
      </c>
      <c r="B38" s="8" t="s">
        <v>54</v>
      </c>
      <c r="C38" s="8" t="s">
        <v>57</v>
      </c>
      <c r="D38" s="13" t="s">
        <v>19</v>
      </c>
      <c r="E38" s="10"/>
      <c r="F38" s="11"/>
      <c r="G38" s="8"/>
      <c r="H38" s="8"/>
      <c r="I38" s="11"/>
      <c r="J38" s="12"/>
      <c r="K38" s="10" t="str">
        <f aca="false">IF(J38="","",J38+14)</f>
        <v/>
      </c>
      <c r="L38" s="11"/>
      <c r="M38" s="8"/>
    </row>
    <row r="39" customFormat="false" ht="15" hidden="false" customHeight="false" outlineLevel="0" collapsed="false">
      <c r="A39" s="8" t="n">
        <v>38</v>
      </c>
      <c r="B39" s="8" t="s">
        <v>54</v>
      </c>
      <c r="C39" s="8" t="s">
        <v>58</v>
      </c>
      <c r="D39" s="13" t="s">
        <v>19</v>
      </c>
      <c r="E39" s="10"/>
      <c r="F39" s="11"/>
      <c r="G39" s="8"/>
      <c r="H39" s="8"/>
      <c r="I39" s="11"/>
      <c r="J39" s="12"/>
      <c r="K39" s="10" t="str">
        <f aca="false">IF(J39="","",J39+14)</f>
        <v/>
      </c>
      <c r="L39" s="11"/>
      <c r="M39" s="8"/>
    </row>
    <row r="40" customFormat="false" ht="15" hidden="false" customHeight="false" outlineLevel="0" collapsed="false">
      <c r="A40" s="8" t="n">
        <v>39</v>
      </c>
      <c r="B40" s="8" t="s">
        <v>54</v>
      </c>
      <c r="C40" s="8" t="s">
        <v>59</v>
      </c>
      <c r="D40" s="13" t="s">
        <v>19</v>
      </c>
      <c r="E40" s="10"/>
      <c r="F40" s="11"/>
      <c r="G40" s="8"/>
      <c r="H40" s="8"/>
      <c r="I40" s="11"/>
      <c r="J40" s="12"/>
      <c r="K40" s="10" t="str">
        <f aca="false">IF(J40="","",J40+14)</f>
        <v/>
      </c>
      <c r="L40" s="11"/>
      <c r="M40" s="8"/>
    </row>
    <row r="41" customFormat="false" ht="15" hidden="false" customHeight="false" outlineLevel="0" collapsed="false">
      <c r="A41" s="8" t="n">
        <v>40</v>
      </c>
      <c r="B41" s="8" t="s">
        <v>54</v>
      </c>
      <c r="C41" s="8" t="s">
        <v>60</v>
      </c>
      <c r="D41" s="13" t="s">
        <v>19</v>
      </c>
      <c r="E41" s="10"/>
      <c r="F41" s="11"/>
      <c r="G41" s="8"/>
      <c r="H41" s="8"/>
      <c r="I41" s="11"/>
      <c r="J41" s="12"/>
      <c r="K41" s="10" t="str">
        <f aca="false">IF(J41="","",J41+14)</f>
        <v/>
      </c>
      <c r="L41" s="11"/>
      <c r="M41" s="8"/>
    </row>
    <row r="42" customFormat="false" ht="15" hidden="false" customHeight="false" outlineLevel="0" collapsed="false">
      <c r="A42" s="8" t="n">
        <v>41</v>
      </c>
      <c r="B42" s="8" t="s">
        <v>54</v>
      </c>
      <c r="C42" s="8" t="s">
        <v>61</v>
      </c>
      <c r="D42" s="9" t="s">
        <v>15</v>
      </c>
      <c r="E42" s="10"/>
      <c r="F42" s="11"/>
      <c r="G42" s="8"/>
      <c r="H42" s="8"/>
      <c r="I42" s="11"/>
      <c r="J42" s="12"/>
      <c r="K42" s="10" t="str">
        <f aca="false">IF(J42="","",J42+14)</f>
        <v/>
      </c>
      <c r="L42" s="11"/>
      <c r="M42" s="8"/>
    </row>
    <row r="43" customFormat="false" ht="15" hidden="false" customHeight="false" outlineLevel="0" collapsed="false">
      <c r="A43" s="8" t="n">
        <v>42</v>
      </c>
      <c r="B43" s="8" t="s">
        <v>54</v>
      </c>
      <c r="C43" s="8" t="s">
        <v>62</v>
      </c>
      <c r="D43" s="13" t="s">
        <v>19</v>
      </c>
      <c r="E43" s="10"/>
      <c r="F43" s="11"/>
      <c r="G43" s="8"/>
      <c r="H43" s="8"/>
      <c r="I43" s="11"/>
      <c r="J43" s="12"/>
      <c r="K43" s="10" t="str">
        <f aca="false">IF(J43="","",J43+14)</f>
        <v/>
      </c>
      <c r="L43" s="11"/>
      <c r="M43" s="8"/>
    </row>
    <row r="44" customFormat="false" ht="15" hidden="false" customHeight="false" outlineLevel="0" collapsed="false">
      <c r="A44" s="8" t="n">
        <v>43</v>
      </c>
      <c r="B44" s="8" t="s">
        <v>54</v>
      </c>
      <c r="C44" s="8" t="s">
        <v>63</v>
      </c>
      <c r="D44" s="13" t="s">
        <v>19</v>
      </c>
      <c r="E44" s="10"/>
      <c r="F44" s="11"/>
      <c r="G44" s="8"/>
      <c r="H44" s="8"/>
      <c r="I44" s="11"/>
      <c r="J44" s="12"/>
      <c r="K44" s="10" t="str">
        <f aca="false">IF(J44="","",J44+14)</f>
        <v/>
      </c>
      <c r="L44" s="11"/>
      <c r="M44" s="8"/>
    </row>
    <row r="45" customFormat="false" ht="15" hidden="false" customHeight="false" outlineLevel="0" collapsed="false">
      <c r="A45" s="8" t="n">
        <v>44</v>
      </c>
      <c r="B45" s="8" t="s">
        <v>54</v>
      </c>
      <c r="C45" s="8" t="s">
        <v>64</v>
      </c>
      <c r="D45" s="14" t="s">
        <v>31</v>
      </c>
      <c r="E45" s="10"/>
      <c r="F45" s="11"/>
      <c r="G45" s="8"/>
      <c r="H45" s="8"/>
      <c r="I45" s="11"/>
      <c r="J45" s="12"/>
      <c r="K45" s="10" t="str">
        <f aca="false">IF(J45="","",J45+14)</f>
        <v/>
      </c>
      <c r="L45" s="11"/>
      <c r="M45" s="8"/>
    </row>
    <row r="46" customFormat="false" ht="15" hidden="false" customHeight="false" outlineLevel="0" collapsed="false">
      <c r="A46" s="8" t="n">
        <v>45</v>
      </c>
      <c r="B46" s="8" t="s">
        <v>54</v>
      </c>
      <c r="C46" s="8" t="s">
        <v>65</v>
      </c>
      <c r="D46" s="14" t="s">
        <v>31</v>
      </c>
      <c r="E46" s="10"/>
      <c r="F46" s="11"/>
      <c r="G46" s="8"/>
      <c r="H46" s="8"/>
      <c r="I46" s="11"/>
      <c r="J46" s="12"/>
      <c r="K46" s="10" t="str">
        <f aca="false">IF(J46="","",J46+14)</f>
        <v/>
      </c>
      <c r="L46" s="11"/>
      <c r="M46" s="8"/>
    </row>
    <row r="47" customFormat="false" ht="15" hidden="false" customHeight="false" outlineLevel="0" collapsed="false">
      <c r="A47" s="8" t="n">
        <v>46</v>
      </c>
      <c r="B47" s="8" t="s">
        <v>66</v>
      </c>
      <c r="C47" s="8" t="s">
        <v>67</v>
      </c>
      <c r="D47" s="9" t="s">
        <v>15</v>
      </c>
      <c r="E47" s="10"/>
      <c r="F47" s="11"/>
      <c r="G47" s="8"/>
      <c r="H47" s="8"/>
      <c r="I47" s="11"/>
      <c r="J47" s="12"/>
      <c r="K47" s="10" t="str">
        <f aca="false">IF(J47="","",J47+14)</f>
        <v/>
      </c>
      <c r="L47" s="11"/>
      <c r="M47" s="8"/>
    </row>
    <row r="48" customFormat="false" ht="15" hidden="false" customHeight="false" outlineLevel="0" collapsed="false">
      <c r="A48" s="8" t="n">
        <v>47</v>
      </c>
      <c r="B48" s="8" t="s">
        <v>66</v>
      </c>
      <c r="C48" s="8" t="s">
        <v>68</v>
      </c>
      <c r="D48" s="9" t="s">
        <v>15</v>
      </c>
      <c r="E48" s="10"/>
      <c r="F48" s="11"/>
      <c r="G48" s="8"/>
      <c r="H48" s="8"/>
      <c r="I48" s="11"/>
      <c r="J48" s="12"/>
      <c r="K48" s="10" t="str">
        <f aca="false">IF(J48="","",J48+14)</f>
        <v/>
      </c>
      <c r="L48" s="11"/>
      <c r="M48" s="8"/>
    </row>
    <row r="49" customFormat="false" ht="15" hidden="false" customHeight="false" outlineLevel="0" collapsed="false">
      <c r="A49" s="8" t="n">
        <v>48</v>
      </c>
      <c r="B49" s="8" t="s">
        <v>66</v>
      </c>
      <c r="C49" s="8" t="s">
        <v>69</v>
      </c>
      <c r="D49" s="9" t="s">
        <v>15</v>
      </c>
      <c r="E49" s="10"/>
      <c r="F49" s="11"/>
      <c r="G49" s="8"/>
      <c r="H49" s="8"/>
      <c r="I49" s="11"/>
      <c r="J49" s="12"/>
      <c r="K49" s="10" t="str">
        <f aca="false">IF(J49="","",J49+14)</f>
        <v/>
      </c>
      <c r="L49" s="11"/>
      <c r="M49" s="8"/>
    </row>
    <row r="50" customFormat="false" ht="15" hidden="false" customHeight="false" outlineLevel="0" collapsed="false">
      <c r="A50" s="8" t="n">
        <v>49</v>
      </c>
      <c r="B50" s="8" t="s">
        <v>66</v>
      </c>
      <c r="C50" s="8" t="s">
        <v>70</v>
      </c>
      <c r="D50" s="9" t="s">
        <v>15</v>
      </c>
      <c r="E50" s="10"/>
      <c r="F50" s="11"/>
      <c r="G50" s="8"/>
      <c r="H50" s="8"/>
      <c r="I50" s="11"/>
      <c r="J50" s="12"/>
      <c r="K50" s="10" t="str">
        <f aca="false">IF(J50="","",J50+14)</f>
        <v/>
      </c>
      <c r="L50" s="11"/>
      <c r="M50" s="8"/>
    </row>
    <row r="51" customFormat="false" ht="15" hidden="false" customHeight="false" outlineLevel="0" collapsed="false">
      <c r="A51" s="8" t="n">
        <v>50</v>
      </c>
      <c r="B51" s="8" t="s">
        <v>66</v>
      </c>
      <c r="C51" s="8" t="s">
        <v>71</v>
      </c>
      <c r="D51" s="9" t="s">
        <v>15</v>
      </c>
      <c r="E51" s="10"/>
      <c r="F51" s="11"/>
      <c r="G51" s="8"/>
      <c r="H51" s="8"/>
      <c r="I51" s="11"/>
      <c r="J51" s="12"/>
      <c r="K51" s="10" t="str">
        <f aca="false">IF(J51="","",J51+14)</f>
        <v/>
      </c>
      <c r="L51" s="11"/>
      <c r="M51" s="8"/>
    </row>
    <row r="52" customFormat="false" ht="15" hidden="false" customHeight="false" outlineLevel="0" collapsed="false">
      <c r="A52" s="8" t="n">
        <v>51</v>
      </c>
      <c r="B52" s="8" t="s">
        <v>66</v>
      </c>
      <c r="C52" s="8" t="s">
        <v>72</v>
      </c>
      <c r="D52" s="9" t="s">
        <v>15</v>
      </c>
      <c r="E52" s="10"/>
      <c r="F52" s="11"/>
      <c r="G52" s="8"/>
      <c r="H52" s="8"/>
      <c r="I52" s="11"/>
      <c r="J52" s="12"/>
      <c r="K52" s="10" t="str">
        <f aca="false">IF(J52="","",J52+14)</f>
        <v/>
      </c>
      <c r="L52" s="11"/>
      <c r="M52" s="8"/>
    </row>
    <row r="53" customFormat="false" ht="15" hidden="false" customHeight="false" outlineLevel="0" collapsed="false">
      <c r="A53" s="8" t="n">
        <v>52</v>
      </c>
      <c r="B53" s="8" t="s">
        <v>66</v>
      </c>
      <c r="C53" s="8" t="s">
        <v>73</v>
      </c>
      <c r="D53" s="13" t="s">
        <v>19</v>
      </c>
      <c r="E53" s="10"/>
      <c r="F53" s="11"/>
      <c r="G53" s="8"/>
      <c r="H53" s="8"/>
      <c r="I53" s="11"/>
      <c r="J53" s="12"/>
      <c r="K53" s="10" t="str">
        <f aca="false">IF(J53="","",J53+14)</f>
        <v/>
      </c>
      <c r="L53" s="11"/>
      <c r="M53" s="8"/>
    </row>
    <row r="54" customFormat="false" ht="15" hidden="false" customHeight="false" outlineLevel="0" collapsed="false">
      <c r="A54" s="8" t="n">
        <v>53</v>
      </c>
      <c r="B54" s="8" t="s">
        <v>66</v>
      </c>
      <c r="C54" s="8" t="s">
        <v>74</v>
      </c>
      <c r="D54" s="13" t="s">
        <v>19</v>
      </c>
      <c r="E54" s="10"/>
      <c r="F54" s="11"/>
      <c r="G54" s="8"/>
      <c r="H54" s="8"/>
      <c r="I54" s="11"/>
      <c r="J54" s="12"/>
      <c r="K54" s="10" t="str">
        <f aca="false">IF(J54="","",J54+14)</f>
        <v/>
      </c>
      <c r="L54" s="11"/>
      <c r="M54" s="8"/>
    </row>
    <row r="55" customFormat="false" ht="15" hidden="false" customHeight="false" outlineLevel="0" collapsed="false">
      <c r="A55" s="8" t="n">
        <v>54</v>
      </c>
      <c r="B55" s="8" t="s">
        <v>66</v>
      </c>
      <c r="C55" s="8" t="s">
        <v>75</v>
      </c>
      <c r="D55" s="13" t="s">
        <v>19</v>
      </c>
      <c r="E55" s="10"/>
      <c r="F55" s="11"/>
      <c r="G55" s="8"/>
      <c r="H55" s="8"/>
      <c r="I55" s="11"/>
      <c r="J55" s="12"/>
      <c r="K55" s="10" t="str">
        <f aca="false">IF(J55="","",J55+14)</f>
        <v/>
      </c>
      <c r="L55" s="11"/>
      <c r="M55" s="8"/>
    </row>
    <row r="56" customFormat="false" ht="15" hidden="false" customHeight="false" outlineLevel="0" collapsed="false">
      <c r="A56" s="8" t="n">
        <v>55</v>
      </c>
      <c r="B56" s="8" t="s">
        <v>66</v>
      </c>
      <c r="C56" s="8" t="s">
        <v>76</v>
      </c>
      <c r="D56" s="13" t="s">
        <v>19</v>
      </c>
      <c r="E56" s="10"/>
      <c r="F56" s="11"/>
      <c r="G56" s="8"/>
      <c r="H56" s="8"/>
      <c r="I56" s="11"/>
      <c r="J56" s="12"/>
      <c r="K56" s="10" t="str">
        <f aca="false">IF(J56="","",J56+14)</f>
        <v/>
      </c>
      <c r="L56" s="11"/>
      <c r="M56" s="8"/>
    </row>
    <row r="57" customFormat="false" ht="15" hidden="false" customHeight="false" outlineLevel="0" collapsed="false">
      <c r="A57" s="8" t="n">
        <v>56</v>
      </c>
      <c r="B57" s="8" t="s">
        <v>66</v>
      </c>
      <c r="C57" s="8" t="s">
        <v>77</v>
      </c>
      <c r="D57" s="13" t="s">
        <v>19</v>
      </c>
      <c r="E57" s="10"/>
      <c r="F57" s="11"/>
      <c r="G57" s="8"/>
      <c r="H57" s="8"/>
      <c r="I57" s="11"/>
      <c r="J57" s="12"/>
      <c r="K57" s="10" t="str">
        <f aca="false">IF(J57="","",J57+14)</f>
        <v/>
      </c>
      <c r="L57" s="11"/>
      <c r="M57" s="8"/>
    </row>
    <row r="58" customFormat="false" ht="15" hidden="false" customHeight="false" outlineLevel="0" collapsed="false">
      <c r="A58" s="8" t="n">
        <v>57</v>
      </c>
      <c r="B58" s="8" t="s">
        <v>66</v>
      </c>
      <c r="C58" s="8" t="s">
        <v>78</v>
      </c>
      <c r="D58" s="13" t="s">
        <v>19</v>
      </c>
      <c r="E58" s="10" t="n">
        <v>46213</v>
      </c>
      <c r="F58" s="11" t="s">
        <v>79</v>
      </c>
      <c r="G58" s="8"/>
      <c r="H58" s="8"/>
      <c r="I58" s="11" t="s">
        <v>80</v>
      </c>
      <c r="J58" s="12"/>
      <c r="K58" s="10" t="str">
        <f aca="false">IF(J58="","",J58+14)</f>
        <v/>
      </c>
      <c r="L58" s="11"/>
      <c r="M58" s="8"/>
    </row>
    <row r="59" customFormat="false" ht="15" hidden="false" customHeight="false" outlineLevel="0" collapsed="false">
      <c r="A59" s="8" t="n">
        <v>58</v>
      </c>
      <c r="B59" s="8" t="s">
        <v>66</v>
      </c>
      <c r="C59" s="8" t="s">
        <v>81</v>
      </c>
      <c r="D59" s="13" t="s">
        <v>19</v>
      </c>
      <c r="E59" s="10" t="n">
        <v>46214</v>
      </c>
      <c r="F59" s="11" t="s">
        <v>79</v>
      </c>
      <c r="G59" s="8"/>
      <c r="H59" s="8"/>
      <c r="I59" s="11" t="s">
        <v>80</v>
      </c>
      <c r="J59" s="12"/>
      <c r="K59" s="10" t="str">
        <f aca="false">IF(J59="","",J59+14)</f>
        <v/>
      </c>
      <c r="L59" s="11"/>
      <c r="M59" s="8"/>
    </row>
    <row r="60" customFormat="false" ht="15" hidden="false" customHeight="false" outlineLevel="0" collapsed="false">
      <c r="A60" s="8" t="n">
        <v>59</v>
      </c>
      <c r="B60" s="8" t="s">
        <v>66</v>
      </c>
      <c r="C60" s="8" t="s">
        <v>82</v>
      </c>
      <c r="D60" s="14" t="s">
        <v>31</v>
      </c>
      <c r="E60" s="10" t="n">
        <v>46217</v>
      </c>
      <c r="F60" s="11" t="s">
        <v>79</v>
      </c>
      <c r="G60" s="8"/>
      <c r="H60" s="8"/>
      <c r="I60" s="11" t="s">
        <v>83</v>
      </c>
      <c r="J60" s="12" t="n">
        <v>46217</v>
      </c>
      <c r="K60" s="10" t="n">
        <f aca="false">IF(J60="","",J60+14)</f>
        <v>46231</v>
      </c>
      <c r="L60" s="11"/>
      <c r="M60" s="8"/>
    </row>
    <row r="61" customFormat="false" ht="15" hidden="false" customHeight="false" outlineLevel="0" collapsed="false">
      <c r="A61" s="8" t="n">
        <v>60</v>
      </c>
      <c r="B61" s="8" t="s">
        <v>66</v>
      </c>
      <c r="C61" s="8" t="s">
        <v>84</v>
      </c>
      <c r="D61" s="14" t="s">
        <v>31</v>
      </c>
      <c r="E61" s="10" t="n">
        <v>46218</v>
      </c>
      <c r="F61" s="11" t="s">
        <v>85</v>
      </c>
      <c r="G61" s="8"/>
      <c r="H61" s="8"/>
      <c r="I61" s="11" t="s">
        <v>80</v>
      </c>
      <c r="J61" s="12"/>
      <c r="K61" s="10" t="str">
        <f aca="false">IF(J61="","",J61+14)</f>
        <v/>
      </c>
      <c r="L61" s="11"/>
      <c r="M61" s="8"/>
    </row>
    <row r="62" customFormat="false" ht="15" hidden="false" customHeight="false" outlineLevel="0" collapsed="false">
      <c r="A62" s="8" t="n">
        <v>61</v>
      </c>
      <c r="B62" s="8" t="s">
        <v>86</v>
      </c>
      <c r="C62" s="8" t="s">
        <v>87</v>
      </c>
      <c r="D62" s="13" t="s">
        <v>19</v>
      </c>
      <c r="E62" s="10" t="n">
        <v>46233</v>
      </c>
      <c r="F62" s="11" t="s">
        <v>79</v>
      </c>
      <c r="G62" s="8"/>
      <c r="H62" s="8"/>
      <c r="I62" s="11" t="s">
        <v>83</v>
      </c>
      <c r="J62" s="12" t="n">
        <v>46221</v>
      </c>
      <c r="K62" s="10" t="n">
        <v>46247</v>
      </c>
      <c r="L62" s="11"/>
      <c r="M62" s="8"/>
    </row>
    <row r="63" customFormat="false" ht="15" hidden="false" customHeight="false" outlineLevel="0" collapsed="false">
      <c r="A63" s="8" t="n">
        <v>62</v>
      </c>
      <c r="B63" s="8" t="s">
        <v>86</v>
      </c>
      <c r="C63" s="8" t="s">
        <v>88</v>
      </c>
      <c r="D63" s="13" t="s">
        <v>19</v>
      </c>
      <c r="E63" s="10"/>
      <c r="F63" s="11"/>
      <c r="G63" s="8"/>
      <c r="H63" s="8"/>
      <c r="I63" s="11"/>
      <c r="J63" s="12"/>
      <c r="K63" s="10"/>
      <c r="L63" s="11"/>
      <c r="M63" s="8"/>
    </row>
    <row r="64" customFormat="false" ht="15" hidden="false" customHeight="false" outlineLevel="0" collapsed="false">
      <c r="A64" s="8" t="n">
        <v>63</v>
      </c>
      <c r="B64" s="8" t="s">
        <v>86</v>
      </c>
      <c r="C64" s="8" t="s">
        <v>89</v>
      </c>
      <c r="D64" s="14" t="s">
        <v>31</v>
      </c>
      <c r="E64" s="10"/>
      <c r="F64" s="11"/>
      <c r="G64" s="8"/>
      <c r="H64" s="8"/>
      <c r="I64" s="11"/>
      <c r="J64" s="12"/>
      <c r="K64" s="10"/>
      <c r="L64" s="11"/>
      <c r="M64" s="8"/>
    </row>
    <row r="65" customFormat="false" ht="15" hidden="false" customHeight="false" outlineLevel="0" collapsed="false">
      <c r="A65" s="8" t="n">
        <v>64</v>
      </c>
      <c r="B65" s="8" t="s">
        <v>90</v>
      </c>
      <c r="C65" s="8" t="s">
        <v>91</v>
      </c>
      <c r="D65" s="9" t="s">
        <v>15</v>
      </c>
      <c r="E65" s="10"/>
      <c r="F65" s="11"/>
      <c r="G65" s="8"/>
      <c r="H65" s="8"/>
      <c r="I65" s="11"/>
      <c r="J65" s="12"/>
      <c r="K65" s="10" t="str">
        <f aca="false">IF(J65="","",J65+14)</f>
        <v/>
      </c>
      <c r="L65" s="11"/>
      <c r="M65" s="8"/>
    </row>
    <row r="66" customFormat="false" ht="15" hidden="false" customHeight="false" outlineLevel="0" collapsed="false">
      <c r="A66" s="8" t="n">
        <v>65</v>
      </c>
      <c r="B66" s="8" t="s">
        <v>90</v>
      </c>
      <c r="C66" s="8" t="s">
        <v>92</v>
      </c>
      <c r="D66" s="9" t="s">
        <v>15</v>
      </c>
      <c r="E66" s="10"/>
      <c r="F66" s="11"/>
      <c r="G66" s="8"/>
      <c r="H66" s="8"/>
      <c r="I66" s="11"/>
      <c r="J66" s="12"/>
      <c r="K66" s="10" t="str">
        <f aca="false">IF(J66="","",J66+14)</f>
        <v/>
      </c>
      <c r="L66" s="11"/>
      <c r="M66" s="8"/>
    </row>
    <row r="67" customFormat="false" ht="15" hidden="false" customHeight="false" outlineLevel="0" collapsed="false">
      <c r="A67" s="8" t="n">
        <v>66</v>
      </c>
      <c r="B67" s="8" t="s">
        <v>90</v>
      </c>
      <c r="C67" s="8" t="s">
        <v>93</v>
      </c>
      <c r="D67" s="13" t="s">
        <v>19</v>
      </c>
      <c r="E67" s="10"/>
      <c r="F67" s="11"/>
      <c r="G67" s="8"/>
      <c r="H67" s="8"/>
      <c r="I67" s="11"/>
      <c r="J67" s="12"/>
      <c r="K67" s="10" t="str">
        <f aca="false">IF(J67="","",J67+14)</f>
        <v/>
      </c>
      <c r="L67" s="11"/>
      <c r="M67" s="8"/>
    </row>
    <row r="68" customFormat="false" ht="15" hidden="false" customHeight="false" outlineLevel="0" collapsed="false">
      <c r="A68" s="8" t="n">
        <v>67</v>
      </c>
      <c r="B68" s="8" t="s">
        <v>90</v>
      </c>
      <c r="C68" s="8" t="s">
        <v>94</v>
      </c>
      <c r="D68" s="13" t="s">
        <v>19</v>
      </c>
      <c r="E68" s="10"/>
      <c r="F68" s="11"/>
      <c r="G68" s="8"/>
      <c r="H68" s="8"/>
      <c r="I68" s="11"/>
      <c r="J68" s="12"/>
      <c r="K68" s="10" t="str">
        <f aca="false">IF(J68="","",J68+14)</f>
        <v/>
      </c>
      <c r="L68" s="11"/>
      <c r="M68" s="8"/>
    </row>
    <row r="69" customFormat="false" ht="15" hidden="false" customHeight="false" outlineLevel="0" collapsed="false">
      <c r="A69" s="8" t="n">
        <v>68</v>
      </c>
      <c r="B69" s="8" t="s">
        <v>90</v>
      </c>
      <c r="C69" s="8" t="s">
        <v>95</v>
      </c>
      <c r="D69" s="13" t="s">
        <v>19</v>
      </c>
      <c r="E69" s="10"/>
      <c r="F69" s="11"/>
      <c r="G69" s="8"/>
      <c r="H69" s="8"/>
      <c r="I69" s="11"/>
      <c r="J69" s="12"/>
      <c r="K69" s="10" t="str">
        <f aca="false">IF(J69="","",J69+14)</f>
        <v/>
      </c>
      <c r="L69" s="11"/>
      <c r="M69" s="8"/>
    </row>
    <row r="70" customFormat="false" ht="15" hidden="false" customHeight="false" outlineLevel="0" collapsed="false">
      <c r="A70" s="8" t="n">
        <v>69</v>
      </c>
      <c r="B70" s="8" t="s">
        <v>90</v>
      </c>
      <c r="C70" s="8" t="s">
        <v>96</v>
      </c>
      <c r="D70" s="13" t="s">
        <v>19</v>
      </c>
      <c r="E70" s="10"/>
      <c r="F70" s="11"/>
      <c r="G70" s="8"/>
      <c r="H70" s="8"/>
      <c r="I70" s="11"/>
      <c r="J70" s="12"/>
      <c r="K70" s="10" t="str">
        <f aca="false">IF(J70="","",J70+14)</f>
        <v/>
      </c>
      <c r="L70" s="11"/>
      <c r="M70" s="8"/>
    </row>
    <row r="71" customFormat="false" ht="15" hidden="false" customHeight="false" outlineLevel="0" collapsed="false">
      <c r="A71" s="8" t="n">
        <v>70</v>
      </c>
      <c r="B71" s="8" t="s">
        <v>90</v>
      </c>
      <c r="C71" s="8" t="s">
        <v>97</v>
      </c>
      <c r="D71" s="14" t="s">
        <v>31</v>
      </c>
      <c r="E71" s="10" t="n">
        <v>46219</v>
      </c>
      <c r="F71" s="11" t="s">
        <v>79</v>
      </c>
      <c r="G71" s="8"/>
      <c r="H71" s="8"/>
      <c r="I71" s="11" t="s">
        <v>80</v>
      </c>
      <c r="J71" s="12"/>
      <c r="K71" s="10" t="str">
        <f aca="false">IF(J71="","",J71+14)</f>
        <v/>
      </c>
      <c r="L71" s="11"/>
      <c r="M71" s="8"/>
    </row>
    <row r="72" customFormat="false" ht="15" hidden="false" customHeight="false" outlineLevel="0" collapsed="false">
      <c r="A72" s="8" t="n">
        <v>71</v>
      </c>
      <c r="B72" s="8" t="s">
        <v>98</v>
      </c>
      <c r="C72" s="8" t="s">
        <v>99</v>
      </c>
      <c r="D72" s="13" t="s">
        <v>19</v>
      </c>
      <c r="E72" s="10"/>
      <c r="F72" s="11"/>
      <c r="G72" s="8"/>
      <c r="H72" s="8"/>
      <c r="I72" s="11"/>
      <c r="J72" s="12"/>
      <c r="K72" s="10" t="str">
        <f aca="false">IF(J72="","",J72+14)</f>
        <v/>
      </c>
      <c r="L72" s="11"/>
      <c r="M72" s="8"/>
    </row>
    <row r="73" customFormat="false" ht="15" hidden="false" customHeight="false" outlineLevel="0" collapsed="false">
      <c r="A73" s="8" t="n">
        <v>72</v>
      </c>
      <c r="B73" s="8" t="s">
        <v>98</v>
      </c>
      <c r="C73" s="8" t="s">
        <v>100</v>
      </c>
      <c r="D73" s="13" t="s">
        <v>19</v>
      </c>
      <c r="E73" s="10" t="n">
        <v>46221</v>
      </c>
      <c r="F73" s="11" t="s">
        <v>79</v>
      </c>
      <c r="G73" s="8"/>
      <c r="H73" s="8"/>
      <c r="I73" s="11" t="s">
        <v>80</v>
      </c>
      <c r="J73" s="12" t="n">
        <v>46221</v>
      </c>
      <c r="K73" s="10" t="n">
        <f aca="false">IF(J73="","",J73+14)</f>
        <v>46235</v>
      </c>
      <c r="L73" s="11"/>
      <c r="M73" s="8"/>
    </row>
    <row r="74" customFormat="false" ht="15" hidden="false" customHeight="false" outlineLevel="0" collapsed="false">
      <c r="A74" s="8" t="n">
        <v>73</v>
      </c>
      <c r="B74" s="8" t="s">
        <v>98</v>
      </c>
      <c r="C74" s="8" t="s">
        <v>101</v>
      </c>
      <c r="D74" s="13" t="s">
        <v>19</v>
      </c>
      <c r="E74" s="10"/>
      <c r="F74" s="11"/>
      <c r="G74" s="8"/>
      <c r="H74" s="8"/>
      <c r="I74" s="11"/>
      <c r="J74" s="12"/>
      <c r="K74" s="10" t="str">
        <f aca="false">IF(J74="","",J74+14)</f>
        <v/>
      </c>
      <c r="L74" s="11"/>
      <c r="M74" s="8"/>
    </row>
    <row r="75" customFormat="false" ht="15" hidden="false" customHeight="false" outlineLevel="0" collapsed="false">
      <c r="A75" s="8" t="n">
        <v>74</v>
      </c>
      <c r="B75" s="8" t="s">
        <v>98</v>
      </c>
      <c r="C75" s="8" t="s">
        <v>102</v>
      </c>
      <c r="D75" s="13" t="s">
        <v>19</v>
      </c>
      <c r="E75" s="10"/>
      <c r="F75" s="11"/>
      <c r="G75" s="8"/>
      <c r="H75" s="8"/>
      <c r="I75" s="11"/>
      <c r="J75" s="12"/>
      <c r="K75" s="10" t="str">
        <f aca="false">IF(J75="","",J75+14)</f>
        <v/>
      </c>
      <c r="L75" s="11"/>
      <c r="M75" s="8"/>
    </row>
    <row r="76" customFormat="false" ht="15" hidden="false" customHeight="false" outlineLevel="0" collapsed="false">
      <c r="A76" s="8" t="n">
        <v>75</v>
      </c>
      <c r="B76" s="8" t="s">
        <v>98</v>
      </c>
      <c r="C76" s="8" t="s">
        <v>103</v>
      </c>
      <c r="D76" s="13" t="s">
        <v>19</v>
      </c>
      <c r="E76" s="10"/>
      <c r="F76" s="11"/>
      <c r="G76" s="8"/>
      <c r="H76" s="8"/>
      <c r="I76" s="11"/>
      <c r="J76" s="12"/>
      <c r="K76" s="10" t="str">
        <f aca="false">IF(J76="","",J76+14)</f>
        <v/>
      </c>
      <c r="L76" s="11"/>
      <c r="M76" s="8"/>
    </row>
    <row r="77" customFormat="false" ht="15" hidden="false" customHeight="false" outlineLevel="0" collapsed="false">
      <c r="A77" s="8" t="n">
        <v>76</v>
      </c>
      <c r="B77" s="8" t="s">
        <v>98</v>
      </c>
      <c r="C77" s="8" t="s">
        <v>104</v>
      </c>
      <c r="D77" s="13" t="s">
        <v>19</v>
      </c>
      <c r="E77" s="10" t="n">
        <v>46231</v>
      </c>
      <c r="F77" s="11" t="s">
        <v>79</v>
      </c>
      <c r="G77" s="8"/>
      <c r="H77" s="8"/>
      <c r="I77" s="11" t="s">
        <v>83</v>
      </c>
      <c r="J77" s="12" t="n">
        <v>46231</v>
      </c>
      <c r="K77" s="10" t="n">
        <f aca="false">IF(J77="","",J77+14)</f>
        <v>46245</v>
      </c>
      <c r="L77" s="11"/>
      <c r="M77" s="8"/>
    </row>
    <row r="78" customFormat="false" ht="15" hidden="false" customHeight="false" outlineLevel="0" collapsed="false">
      <c r="A78" s="8" t="n">
        <v>77</v>
      </c>
      <c r="B78" s="8" t="s">
        <v>98</v>
      </c>
      <c r="C78" s="8" t="s">
        <v>105</v>
      </c>
      <c r="D78" s="13" t="s">
        <v>19</v>
      </c>
      <c r="E78" s="10"/>
      <c r="F78" s="11"/>
      <c r="G78" s="8"/>
      <c r="H78" s="8"/>
      <c r="I78" s="11"/>
      <c r="J78" s="12"/>
      <c r="K78" s="10" t="str">
        <f aca="false">IF(J78="","",J78+14)</f>
        <v/>
      </c>
      <c r="L78" s="11"/>
      <c r="M78" s="8"/>
    </row>
    <row r="79" customFormat="false" ht="15" hidden="false" customHeight="false" outlineLevel="0" collapsed="false">
      <c r="A79" s="8" t="n">
        <v>78</v>
      </c>
      <c r="B79" s="8" t="s">
        <v>98</v>
      </c>
      <c r="C79" s="8" t="s">
        <v>106</v>
      </c>
      <c r="D79" s="13" t="s">
        <v>19</v>
      </c>
      <c r="E79" s="10"/>
      <c r="F79" s="11"/>
      <c r="G79" s="8"/>
      <c r="H79" s="8"/>
      <c r="I79" s="11"/>
      <c r="J79" s="12"/>
      <c r="K79" s="10" t="str">
        <f aca="false">IF(J79="","",J79+14)</f>
        <v/>
      </c>
      <c r="L79" s="11"/>
      <c r="M79" s="8"/>
    </row>
    <row r="80" customFormat="false" ht="15" hidden="false" customHeight="false" outlineLevel="0" collapsed="false">
      <c r="A80" s="8" t="n">
        <v>79</v>
      </c>
      <c r="B80" s="8" t="s">
        <v>98</v>
      </c>
      <c r="C80" s="8" t="s">
        <v>107</v>
      </c>
      <c r="D80" s="14" t="s">
        <v>31</v>
      </c>
      <c r="E80" s="10"/>
      <c r="F80" s="11"/>
      <c r="G80" s="8"/>
      <c r="H80" s="8"/>
      <c r="I80" s="11"/>
      <c r="J80" s="12"/>
      <c r="K80" s="10" t="str">
        <f aca="false">IF(J80="","",J80+14)</f>
        <v/>
      </c>
      <c r="L80" s="11"/>
      <c r="M80" s="8"/>
    </row>
    <row r="81" customFormat="false" ht="15" hidden="false" customHeight="false" outlineLevel="0" collapsed="false">
      <c r="A81" s="8" t="n">
        <v>80</v>
      </c>
      <c r="B81" s="8" t="s">
        <v>108</v>
      </c>
      <c r="C81" s="8" t="s">
        <v>109</v>
      </c>
      <c r="D81" s="13" t="s">
        <v>19</v>
      </c>
      <c r="E81" s="10"/>
      <c r="F81" s="11"/>
      <c r="G81" s="8"/>
      <c r="H81" s="8"/>
      <c r="I81" s="11"/>
      <c r="J81" s="12"/>
      <c r="K81" s="10" t="str">
        <f aca="false">IF(J81="","",J81+14)</f>
        <v/>
      </c>
      <c r="L81" s="11"/>
      <c r="M81" s="8"/>
    </row>
    <row r="82" customFormat="false" ht="15" hidden="false" customHeight="false" outlineLevel="0" collapsed="false">
      <c r="A82" s="8" t="n">
        <v>81</v>
      </c>
      <c r="B82" s="8" t="s">
        <v>108</v>
      </c>
      <c r="C82" s="8" t="s">
        <v>110</v>
      </c>
      <c r="D82" s="13" t="s">
        <v>19</v>
      </c>
      <c r="E82" s="10"/>
      <c r="F82" s="11"/>
      <c r="G82" s="8"/>
      <c r="H82" s="8"/>
      <c r="I82" s="11"/>
      <c r="J82" s="12"/>
      <c r="K82" s="10" t="str">
        <f aca="false">IF(J82="","",J82+14)</f>
        <v/>
      </c>
      <c r="L82" s="11"/>
      <c r="M82" s="8"/>
    </row>
    <row r="83" customFormat="false" ht="15" hidden="false" customHeight="false" outlineLevel="0" collapsed="false">
      <c r="A83" s="8" t="n">
        <v>82</v>
      </c>
      <c r="B83" s="8" t="s">
        <v>108</v>
      </c>
      <c r="C83" s="8" t="s">
        <v>111</v>
      </c>
      <c r="D83" s="13" t="s">
        <v>19</v>
      </c>
      <c r="E83" s="10"/>
      <c r="F83" s="11"/>
      <c r="G83" s="8"/>
      <c r="H83" s="8"/>
      <c r="I83" s="11"/>
      <c r="J83" s="12"/>
      <c r="K83" s="10" t="str">
        <f aca="false">IF(J83="","",J83+14)</f>
        <v/>
      </c>
      <c r="L83" s="11"/>
      <c r="M83" s="8"/>
    </row>
    <row r="84" customFormat="false" ht="15" hidden="false" customHeight="false" outlineLevel="0" collapsed="false">
      <c r="A84" s="8" t="n">
        <v>83</v>
      </c>
      <c r="B84" s="8" t="s">
        <v>108</v>
      </c>
      <c r="C84" s="8" t="s">
        <v>112</v>
      </c>
      <c r="D84" s="13" t="s">
        <v>19</v>
      </c>
      <c r="E84" s="10"/>
      <c r="F84" s="11"/>
      <c r="G84" s="8"/>
      <c r="H84" s="8"/>
      <c r="I84" s="11"/>
      <c r="J84" s="12"/>
      <c r="K84" s="10" t="str">
        <f aca="false">IF(J84="","",J84+14)</f>
        <v/>
      </c>
      <c r="L84" s="11"/>
      <c r="M84" s="8"/>
    </row>
    <row r="85" customFormat="false" ht="15" hidden="false" customHeight="false" outlineLevel="0" collapsed="false">
      <c r="A85" s="8" t="n">
        <v>84</v>
      </c>
      <c r="B85" s="8" t="s">
        <v>108</v>
      </c>
      <c r="C85" s="8" t="s">
        <v>113</v>
      </c>
      <c r="D85" s="13" t="s">
        <v>19</v>
      </c>
      <c r="E85" s="10"/>
      <c r="F85" s="11"/>
      <c r="G85" s="8"/>
      <c r="H85" s="8"/>
      <c r="I85" s="11"/>
      <c r="J85" s="12"/>
      <c r="K85" s="10" t="str">
        <f aca="false">IF(J85="","",J85+14)</f>
        <v/>
      </c>
      <c r="L85" s="11"/>
      <c r="M85" s="8"/>
    </row>
    <row r="86" customFormat="false" ht="15" hidden="false" customHeight="false" outlineLevel="0" collapsed="false">
      <c r="A86" s="8" t="n">
        <v>85</v>
      </c>
      <c r="B86" s="8" t="s">
        <v>108</v>
      </c>
      <c r="C86" s="8" t="s">
        <v>114</v>
      </c>
      <c r="D86" s="13" t="s">
        <v>19</v>
      </c>
      <c r="E86" s="10"/>
      <c r="F86" s="11"/>
      <c r="G86" s="8"/>
      <c r="H86" s="8"/>
      <c r="I86" s="11"/>
      <c r="J86" s="12"/>
      <c r="K86" s="10" t="str">
        <f aca="false">IF(J86="","",J86+14)</f>
        <v/>
      </c>
      <c r="L86" s="11"/>
      <c r="M86" s="8"/>
    </row>
    <row r="87" customFormat="false" ht="15" hidden="false" customHeight="false" outlineLevel="0" collapsed="false">
      <c r="A87" s="8" t="n">
        <v>86</v>
      </c>
      <c r="B87" s="8" t="s">
        <v>108</v>
      </c>
      <c r="C87" s="8" t="s">
        <v>115</v>
      </c>
      <c r="D87" s="13" t="s">
        <v>19</v>
      </c>
      <c r="E87" s="10"/>
      <c r="F87" s="11"/>
      <c r="G87" s="8"/>
      <c r="H87" s="8"/>
      <c r="I87" s="11"/>
      <c r="J87" s="12"/>
      <c r="K87" s="10" t="str">
        <f aca="false">IF(J87="","",J87+14)</f>
        <v/>
      </c>
      <c r="L87" s="11"/>
      <c r="M87" s="8"/>
    </row>
    <row r="88" customFormat="false" ht="15" hidden="false" customHeight="false" outlineLevel="0" collapsed="false">
      <c r="A88" s="8" t="n">
        <v>87</v>
      </c>
      <c r="B88" s="8" t="s">
        <v>108</v>
      </c>
      <c r="C88" s="8" t="s">
        <v>116</v>
      </c>
      <c r="D88" s="13" t="s">
        <v>19</v>
      </c>
      <c r="E88" s="10"/>
      <c r="F88" s="11"/>
      <c r="G88" s="8"/>
      <c r="H88" s="8"/>
      <c r="I88" s="11"/>
      <c r="J88" s="12"/>
      <c r="K88" s="10" t="str">
        <f aca="false">IF(J88="","",J88+14)</f>
        <v/>
      </c>
      <c r="L88" s="11"/>
      <c r="M88" s="8"/>
    </row>
    <row r="89" customFormat="false" ht="15" hidden="false" customHeight="false" outlineLevel="0" collapsed="false">
      <c r="A89" s="8" t="n">
        <v>88</v>
      </c>
      <c r="B89" s="8" t="s">
        <v>108</v>
      </c>
      <c r="C89" s="8" t="s">
        <v>117</v>
      </c>
      <c r="D89" s="13" t="s">
        <v>19</v>
      </c>
      <c r="E89" s="10"/>
      <c r="F89" s="11"/>
      <c r="G89" s="8"/>
      <c r="H89" s="8"/>
      <c r="I89" s="11"/>
      <c r="J89" s="12"/>
      <c r="K89" s="10" t="str">
        <f aca="false">IF(J89="","",J89+14)</f>
        <v/>
      </c>
      <c r="L89" s="11"/>
      <c r="M89" s="8"/>
    </row>
    <row r="90" customFormat="false" ht="15" hidden="false" customHeight="false" outlineLevel="0" collapsed="false">
      <c r="A90" s="8" t="n">
        <v>89</v>
      </c>
      <c r="B90" s="8" t="s">
        <v>108</v>
      </c>
      <c r="C90" s="8" t="s">
        <v>118</v>
      </c>
      <c r="D90" s="13" t="s">
        <v>19</v>
      </c>
      <c r="E90" s="10"/>
      <c r="F90" s="11"/>
      <c r="G90" s="8"/>
      <c r="H90" s="8"/>
      <c r="I90" s="11"/>
      <c r="J90" s="12"/>
      <c r="K90" s="10" t="str">
        <f aca="false">IF(J90="","",J90+14)</f>
        <v/>
      </c>
      <c r="L90" s="11"/>
      <c r="M90" s="8"/>
    </row>
    <row r="91" customFormat="false" ht="15" hidden="false" customHeight="false" outlineLevel="0" collapsed="false">
      <c r="A91" s="8" t="n">
        <v>90</v>
      </c>
      <c r="B91" s="8" t="s">
        <v>108</v>
      </c>
      <c r="C91" s="8" t="s">
        <v>119</v>
      </c>
      <c r="D91" s="13" t="s">
        <v>19</v>
      </c>
      <c r="E91" s="10"/>
      <c r="F91" s="11"/>
      <c r="G91" s="8"/>
      <c r="H91" s="8"/>
      <c r="I91" s="11"/>
      <c r="J91" s="12"/>
      <c r="K91" s="10" t="str">
        <f aca="false">IF(J91="","",J91+14)</f>
        <v/>
      </c>
      <c r="L91" s="11"/>
      <c r="M91" s="8"/>
    </row>
    <row r="92" customFormat="false" ht="15" hidden="false" customHeight="false" outlineLevel="0" collapsed="false">
      <c r="A92" s="8" t="n">
        <v>91</v>
      </c>
      <c r="B92" s="8" t="s">
        <v>108</v>
      </c>
      <c r="C92" s="8" t="s">
        <v>120</v>
      </c>
      <c r="D92" s="13" t="s">
        <v>19</v>
      </c>
      <c r="E92" s="10"/>
      <c r="F92" s="11"/>
      <c r="G92" s="8"/>
      <c r="H92" s="8"/>
      <c r="I92" s="11"/>
      <c r="J92" s="12"/>
      <c r="K92" s="10" t="str">
        <f aca="false">IF(J92="","",J92+14)</f>
        <v/>
      </c>
      <c r="L92" s="11"/>
      <c r="M92" s="8"/>
    </row>
    <row r="93" customFormat="false" ht="15" hidden="false" customHeight="false" outlineLevel="0" collapsed="false">
      <c r="A93" s="8" t="n">
        <v>92</v>
      </c>
      <c r="B93" s="8" t="s">
        <v>108</v>
      </c>
      <c r="C93" s="8" t="s">
        <v>121</v>
      </c>
      <c r="D93" s="14" t="s">
        <v>31</v>
      </c>
      <c r="E93" s="10"/>
      <c r="F93" s="11"/>
      <c r="G93" s="8"/>
      <c r="H93" s="8"/>
      <c r="I93" s="11"/>
      <c r="J93" s="12"/>
      <c r="K93" s="10" t="str">
        <f aca="false">IF(J93="","",J93+14)</f>
        <v/>
      </c>
      <c r="L93" s="11"/>
      <c r="M93" s="8"/>
    </row>
    <row r="94" customFormat="false" ht="15" hidden="false" customHeight="false" outlineLevel="0" collapsed="false">
      <c r="A94" s="8" t="n">
        <v>93</v>
      </c>
      <c r="B94" s="8" t="s">
        <v>122</v>
      </c>
      <c r="C94" s="8" t="s">
        <v>123</v>
      </c>
      <c r="D94" s="14" t="s">
        <v>31</v>
      </c>
      <c r="E94" s="10"/>
      <c r="F94" s="11"/>
      <c r="G94" s="8"/>
      <c r="H94" s="8"/>
      <c r="I94" s="11"/>
      <c r="J94" s="12"/>
      <c r="K94" s="10" t="str">
        <f aca="false">IF(J94="","",J94+14)</f>
        <v/>
      </c>
      <c r="L94" s="11"/>
      <c r="M94" s="8"/>
    </row>
    <row r="95" customFormat="false" ht="15" hidden="false" customHeight="false" outlineLevel="0" collapsed="false">
      <c r="A95" s="8" t="n">
        <v>94</v>
      </c>
      <c r="B95" s="8" t="s">
        <v>122</v>
      </c>
      <c r="C95" s="8" t="s">
        <v>124</v>
      </c>
      <c r="D95" s="13" t="s">
        <v>19</v>
      </c>
      <c r="E95" s="10"/>
      <c r="F95" s="11"/>
      <c r="G95" s="8"/>
      <c r="H95" s="8"/>
      <c r="I95" s="11"/>
      <c r="J95" s="12"/>
      <c r="K95" s="10" t="str">
        <f aca="false">IF(J95="","",J95+14)</f>
        <v/>
      </c>
      <c r="L95" s="11"/>
      <c r="M95" s="8"/>
    </row>
    <row r="96" customFormat="false" ht="15" hidden="false" customHeight="false" outlineLevel="0" collapsed="false">
      <c r="A96" s="8" t="n">
        <v>95</v>
      </c>
      <c r="B96" s="8" t="s">
        <v>122</v>
      </c>
      <c r="C96" s="8" t="s">
        <v>125</v>
      </c>
      <c r="D96" s="13" t="s">
        <v>19</v>
      </c>
      <c r="E96" s="10"/>
      <c r="F96" s="11"/>
      <c r="G96" s="8"/>
      <c r="H96" s="8"/>
      <c r="I96" s="11"/>
      <c r="J96" s="12"/>
      <c r="K96" s="10" t="str">
        <f aca="false">IF(J96="","",J96+14)</f>
        <v/>
      </c>
      <c r="L96" s="11"/>
      <c r="M96" s="8"/>
    </row>
    <row r="97" customFormat="false" ht="15" hidden="false" customHeight="false" outlineLevel="0" collapsed="false">
      <c r="A97" s="8" t="n">
        <v>96</v>
      </c>
      <c r="B97" s="8" t="s">
        <v>122</v>
      </c>
      <c r="C97" s="8" t="s">
        <v>126</v>
      </c>
      <c r="D97" s="14" t="s">
        <v>31</v>
      </c>
      <c r="E97" s="10"/>
      <c r="F97" s="11"/>
      <c r="G97" s="8"/>
      <c r="H97" s="8"/>
      <c r="I97" s="11"/>
      <c r="J97" s="12"/>
      <c r="K97" s="10" t="str">
        <f aca="false">IF(J97="","",J97+14)</f>
        <v/>
      </c>
      <c r="L97" s="11"/>
      <c r="M97" s="8"/>
    </row>
    <row r="98" customFormat="false" ht="15" hidden="false" customHeight="false" outlineLevel="0" collapsed="false">
      <c r="A98" s="8" t="n">
        <v>97</v>
      </c>
      <c r="B98" s="8" t="s">
        <v>122</v>
      </c>
      <c r="C98" s="8" t="s">
        <v>127</v>
      </c>
      <c r="D98" s="14" t="s">
        <v>31</v>
      </c>
      <c r="E98" s="10"/>
      <c r="F98" s="11"/>
      <c r="G98" s="8"/>
      <c r="H98" s="8"/>
      <c r="I98" s="11"/>
      <c r="J98" s="12"/>
      <c r="K98" s="10" t="str">
        <f aca="false">IF(J98="","",J98+14)</f>
        <v/>
      </c>
      <c r="L98" s="11"/>
      <c r="M98" s="8"/>
    </row>
    <row r="99" customFormat="false" ht="15" hidden="false" customHeight="false" outlineLevel="0" collapsed="false">
      <c r="A99" s="8" t="n">
        <v>98</v>
      </c>
      <c r="B99" s="8" t="s">
        <v>122</v>
      </c>
      <c r="C99" s="8" t="s">
        <v>128</v>
      </c>
      <c r="D99" s="13" t="s">
        <v>19</v>
      </c>
      <c r="E99" s="10"/>
      <c r="F99" s="11"/>
      <c r="G99" s="8"/>
      <c r="H99" s="8"/>
      <c r="I99" s="11"/>
      <c r="J99" s="12"/>
      <c r="K99" s="10" t="str">
        <f aca="false">IF(J99="","",J99+14)</f>
        <v/>
      </c>
      <c r="L99" s="11"/>
      <c r="M99" s="8"/>
    </row>
    <row r="100" customFormat="false" ht="15" hidden="false" customHeight="false" outlineLevel="0" collapsed="false">
      <c r="A100" s="8" t="n">
        <v>99</v>
      </c>
      <c r="B100" s="8" t="s">
        <v>129</v>
      </c>
      <c r="C100" s="8" t="s">
        <v>130</v>
      </c>
      <c r="D100" s="9" t="s">
        <v>15</v>
      </c>
      <c r="E100" s="10"/>
      <c r="F100" s="11"/>
      <c r="G100" s="8"/>
      <c r="H100" s="8"/>
      <c r="I100" s="11"/>
      <c r="J100" s="12"/>
      <c r="K100" s="10" t="str">
        <f aca="false">IF(J100="","",J100+14)</f>
        <v/>
      </c>
      <c r="L100" s="11"/>
      <c r="M100" s="8"/>
    </row>
    <row r="101" customFormat="false" ht="15" hidden="false" customHeight="false" outlineLevel="0" collapsed="false">
      <c r="A101" s="8" t="n">
        <v>100</v>
      </c>
      <c r="B101" s="8" t="s">
        <v>129</v>
      </c>
      <c r="C101" s="8" t="s">
        <v>131</v>
      </c>
      <c r="D101" s="9" t="s">
        <v>15</v>
      </c>
      <c r="E101" s="10"/>
      <c r="F101" s="11"/>
      <c r="G101" s="8"/>
      <c r="H101" s="8"/>
      <c r="I101" s="11"/>
      <c r="J101" s="12"/>
      <c r="K101" s="10" t="str">
        <f aca="false">IF(J101="","",J101+14)</f>
        <v/>
      </c>
      <c r="L101" s="11"/>
      <c r="M101" s="8"/>
    </row>
    <row r="102" customFormat="false" ht="15" hidden="false" customHeight="false" outlineLevel="0" collapsed="false">
      <c r="A102" s="8" t="n">
        <v>101</v>
      </c>
      <c r="B102" s="8" t="s">
        <v>129</v>
      </c>
      <c r="C102" s="8" t="s">
        <v>132</v>
      </c>
      <c r="D102" s="13" t="s">
        <v>19</v>
      </c>
      <c r="E102" s="10"/>
      <c r="F102" s="11"/>
      <c r="G102" s="8"/>
      <c r="H102" s="8"/>
      <c r="I102" s="11"/>
      <c r="J102" s="12"/>
      <c r="K102" s="10" t="str">
        <f aca="false">IF(J102="","",J102+14)</f>
        <v/>
      </c>
      <c r="L102" s="11"/>
      <c r="M102" s="8"/>
    </row>
    <row r="103" customFormat="false" ht="15" hidden="false" customHeight="false" outlineLevel="0" collapsed="false">
      <c r="A103" s="8" t="n">
        <v>102</v>
      </c>
      <c r="B103" s="8" t="s">
        <v>129</v>
      </c>
      <c r="C103" s="8" t="s">
        <v>133</v>
      </c>
      <c r="D103" s="13" t="s">
        <v>19</v>
      </c>
      <c r="E103" s="10"/>
      <c r="F103" s="11"/>
      <c r="G103" s="8"/>
      <c r="H103" s="8"/>
      <c r="I103" s="11"/>
      <c r="J103" s="12"/>
      <c r="K103" s="10" t="str">
        <f aca="false">IF(J103="","",J103+14)</f>
        <v/>
      </c>
      <c r="L103" s="11"/>
      <c r="M103" s="8"/>
    </row>
    <row r="104" customFormat="false" ht="15" hidden="false" customHeight="false" outlineLevel="0" collapsed="false">
      <c r="A104" s="8" t="n">
        <v>103</v>
      </c>
      <c r="B104" s="8" t="s">
        <v>129</v>
      </c>
      <c r="C104" s="8" t="s">
        <v>134</v>
      </c>
      <c r="D104" s="13" t="s">
        <v>19</v>
      </c>
      <c r="E104" s="10"/>
      <c r="F104" s="11"/>
      <c r="G104" s="8"/>
      <c r="H104" s="8"/>
      <c r="I104" s="11"/>
      <c r="J104" s="12"/>
      <c r="K104" s="10" t="str">
        <f aca="false">IF(J104="","",J104+14)</f>
        <v/>
      </c>
      <c r="L104" s="11"/>
      <c r="M104" s="8"/>
    </row>
    <row r="105" customFormat="false" ht="15" hidden="false" customHeight="false" outlineLevel="0" collapsed="false">
      <c r="A105" s="8" t="n">
        <v>104</v>
      </c>
      <c r="B105" s="8" t="s">
        <v>129</v>
      </c>
      <c r="C105" s="8" t="s">
        <v>135</v>
      </c>
      <c r="D105" s="13" t="s">
        <v>19</v>
      </c>
      <c r="E105" s="10"/>
      <c r="F105" s="11"/>
      <c r="G105" s="8"/>
      <c r="H105" s="8"/>
      <c r="I105" s="11"/>
      <c r="J105" s="12"/>
      <c r="K105" s="10" t="str">
        <f aca="false">IF(J105="","",J105+14)</f>
        <v/>
      </c>
      <c r="L105" s="11"/>
      <c r="M105" s="8"/>
    </row>
    <row r="106" customFormat="false" ht="15" hidden="false" customHeight="false" outlineLevel="0" collapsed="false">
      <c r="A106" s="8" t="n">
        <v>105</v>
      </c>
      <c r="B106" s="8" t="s">
        <v>129</v>
      </c>
      <c r="C106" s="8" t="s">
        <v>136</v>
      </c>
      <c r="D106" s="13" t="s">
        <v>19</v>
      </c>
      <c r="E106" s="10"/>
      <c r="F106" s="11"/>
      <c r="G106" s="8"/>
      <c r="H106" s="8"/>
      <c r="I106" s="11"/>
      <c r="J106" s="12"/>
      <c r="K106" s="10" t="str">
        <f aca="false">IF(J106="","",J106+14)</f>
        <v/>
      </c>
      <c r="L106" s="11"/>
      <c r="M106" s="8"/>
    </row>
    <row r="107" customFormat="false" ht="15" hidden="false" customHeight="false" outlineLevel="0" collapsed="false">
      <c r="A107" s="8" t="n">
        <v>106</v>
      </c>
      <c r="B107" s="8" t="s">
        <v>129</v>
      </c>
      <c r="C107" s="8" t="s">
        <v>137</v>
      </c>
      <c r="D107" s="13" t="s">
        <v>19</v>
      </c>
      <c r="E107" s="10"/>
      <c r="F107" s="11"/>
      <c r="G107" s="8"/>
      <c r="H107" s="8"/>
      <c r="I107" s="11"/>
      <c r="J107" s="12"/>
      <c r="K107" s="10" t="str">
        <f aca="false">IF(J107="","",J107+14)</f>
        <v/>
      </c>
      <c r="L107" s="11"/>
      <c r="M107" s="8"/>
    </row>
    <row r="108" customFormat="false" ht="15" hidden="false" customHeight="false" outlineLevel="0" collapsed="false">
      <c r="A108" s="8" t="n">
        <v>107</v>
      </c>
      <c r="B108" s="8" t="s">
        <v>129</v>
      </c>
      <c r="C108" s="8" t="s">
        <v>138</v>
      </c>
      <c r="D108" s="13" t="s">
        <v>19</v>
      </c>
      <c r="E108" s="10"/>
      <c r="F108" s="11"/>
      <c r="G108" s="8"/>
      <c r="H108" s="8"/>
      <c r="I108" s="11"/>
      <c r="J108" s="12"/>
      <c r="K108" s="10" t="str">
        <f aca="false">IF(J108="","",J108+14)</f>
        <v/>
      </c>
      <c r="L108" s="11"/>
      <c r="M108" s="8"/>
    </row>
    <row r="109" customFormat="false" ht="15" hidden="false" customHeight="false" outlineLevel="0" collapsed="false">
      <c r="A109" s="8" t="n">
        <v>108</v>
      </c>
      <c r="B109" s="8" t="s">
        <v>129</v>
      </c>
      <c r="C109" s="8" t="s">
        <v>139</v>
      </c>
      <c r="D109" s="13" t="s">
        <v>19</v>
      </c>
      <c r="E109" s="10"/>
      <c r="F109" s="11"/>
      <c r="G109" s="8"/>
      <c r="H109" s="8"/>
      <c r="I109" s="11"/>
      <c r="J109" s="12"/>
      <c r="K109" s="10" t="str">
        <f aca="false">IF(J109="","",J109+14)</f>
        <v/>
      </c>
      <c r="L109" s="11"/>
      <c r="M109" s="8"/>
    </row>
    <row r="110" customFormat="false" ht="15" hidden="false" customHeight="false" outlineLevel="0" collapsed="false">
      <c r="A110" s="8" t="n">
        <v>109</v>
      </c>
      <c r="B110" s="8" t="s">
        <v>129</v>
      </c>
      <c r="C110" s="8" t="s">
        <v>140</v>
      </c>
      <c r="D110" s="13" t="s">
        <v>19</v>
      </c>
      <c r="E110" s="10"/>
      <c r="F110" s="11"/>
      <c r="G110" s="8"/>
      <c r="H110" s="8"/>
      <c r="I110" s="11"/>
      <c r="J110" s="12"/>
      <c r="K110" s="10" t="str">
        <f aca="false">IF(J110="","",J110+14)</f>
        <v/>
      </c>
      <c r="L110" s="11"/>
      <c r="M110" s="8"/>
    </row>
    <row r="111" customFormat="false" ht="15" hidden="false" customHeight="false" outlineLevel="0" collapsed="false">
      <c r="A111" s="8" t="n">
        <v>110</v>
      </c>
      <c r="B111" s="8" t="s">
        <v>129</v>
      </c>
      <c r="C111" s="8" t="s">
        <v>141</v>
      </c>
      <c r="D111" s="13" t="s">
        <v>19</v>
      </c>
      <c r="E111" s="10"/>
      <c r="F111" s="11"/>
      <c r="G111" s="8"/>
      <c r="H111" s="8"/>
      <c r="I111" s="11"/>
      <c r="J111" s="12"/>
      <c r="K111" s="10" t="str">
        <f aca="false">IF(J111="","",J111+14)</f>
        <v/>
      </c>
      <c r="L111" s="11"/>
      <c r="M111" s="8"/>
    </row>
    <row r="112" customFormat="false" ht="15" hidden="false" customHeight="false" outlineLevel="0" collapsed="false">
      <c r="A112" s="8" t="n">
        <v>111</v>
      </c>
      <c r="B112" s="8" t="s">
        <v>142</v>
      </c>
      <c r="C112" s="8" t="s">
        <v>143</v>
      </c>
      <c r="D112" s="13" t="s">
        <v>19</v>
      </c>
      <c r="E112" s="10"/>
      <c r="F112" s="11"/>
      <c r="G112" s="8"/>
      <c r="H112" s="8"/>
      <c r="I112" s="11"/>
      <c r="J112" s="12"/>
      <c r="K112" s="10" t="str">
        <f aca="false">IF(J112="","",J112+14)</f>
        <v/>
      </c>
      <c r="L112" s="11"/>
      <c r="M112" s="8"/>
    </row>
    <row r="113" customFormat="false" ht="15" hidden="false" customHeight="false" outlineLevel="0" collapsed="false">
      <c r="A113" s="8" t="n">
        <v>112</v>
      </c>
      <c r="B113" s="8" t="s">
        <v>142</v>
      </c>
      <c r="C113" s="8" t="s">
        <v>144</v>
      </c>
      <c r="D113" s="13" t="s">
        <v>19</v>
      </c>
      <c r="E113" s="10"/>
      <c r="F113" s="11"/>
      <c r="G113" s="8"/>
      <c r="H113" s="8"/>
      <c r="I113" s="11"/>
      <c r="J113" s="12"/>
      <c r="K113" s="10" t="str">
        <f aca="false">IF(J113="","",J113+14)</f>
        <v/>
      </c>
      <c r="L113" s="11"/>
      <c r="M113" s="8"/>
    </row>
    <row r="114" customFormat="false" ht="15" hidden="false" customHeight="false" outlineLevel="0" collapsed="false">
      <c r="A114" s="8" t="n">
        <v>113</v>
      </c>
      <c r="B114" s="8" t="s">
        <v>142</v>
      </c>
      <c r="C114" s="8" t="s">
        <v>145</v>
      </c>
      <c r="D114" s="13" t="s">
        <v>19</v>
      </c>
      <c r="E114" s="10"/>
      <c r="F114" s="11"/>
      <c r="G114" s="8"/>
      <c r="H114" s="8"/>
      <c r="I114" s="11"/>
      <c r="J114" s="12"/>
      <c r="K114" s="10" t="str">
        <f aca="false">IF(J114="","",J114+14)</f>
        <v/>
      </c>
      <c r="L114" s="11"/>
      <c r="M114" s="8"/>
    </row>
    <row r="115" customFormat="false" ht="15" hidden="false" customHeight="false" outlineLevel="0" collapsed="false">
      <c r="A115" s="8" t="n">
        <v>114</v>
      </c>
      <c r="B115" s="8" t="s">
        <v>142</v>
      </c>
      <c r="C115" s="8" t="s">
        <v>146</v>
      </c>
      <c r="D115" s="13" t="s">
        <v>19</v>
      </c>
      <c r="E115" s="10"/>
      <c r="F115" s="11"/>
      <c r="G115" s="8"/>
      <c r="H115" s="8"/>
      <c r="I115" s="11"/>
      <c r="J115" s="12"/>
      <c r="K115" s="10" t="str">
        <f aca="false">IF(J115="","",J115+14)</f>
        <v/>
      </c>
      <c r="L115" s="11"/>
      <c r="M115" s="8"/>
    </row>
    <row r="116" customFormat="false" ht="15" hidden="false" customHeight="false" outlineLevel="0" collapsed="false">
      <c r="A116" s="8" t="n">
        <v>115</v>
      </c>
      <c r="B116" s="8" t="s">
        <v>142</v>
      </c>
      <c r="C116" s="8" t="s">
        <v>147</v>
      </c>
      <c r="D116" s="13" t="s">
        <v>19</v>
      </c>
      <c r="E116" s="10"/>
      <c r="F116" s="11"/>
      <c r="G116" s="8"/>
      <c r="H116" s="8"/>
      <c r="I116" s="11"/>
      <c r="J116" s="12"/>
      <c r="K116" s="10" t="str">
        <f aca="false">IF(J116="","",J116+14)</f>
        <v/>
      </c>
      <c r="L116" s="11"/>
      <c r="M116" s="8"/>
    </row>
    <row r="117" customFormat="false" ht="15" hidden="false" customHeight="false" outlineLevel="0" collapsed="false">
      <c r="A117" s="8" t="n">
        <v>116</v>
      </c>
      <c r="B117" s="8" t="s">
        <v>142</v>
      </c>
      <c r="C117" s="8" t="s">
        <v>148</v>
      </c>
      <c r="D117" s="13" t="s">
        <v>19</v>
      </c>
      <c r="E117" s="10"/>
      <c r="F117" s="11"/>
      <c r="G117" s="8"/>
      <c r="H117" s="8"/>
      <c r="I117" s="11"/>
      <c r="J117" s="12"/>
      <c r="K117" s="10" t="str">
        <f aca="false">IF(J117="","",J117+14)</f>
        <v/>
      </c>
      <c r="L117" s="11"/>
      <c r="M117" s="8"/>
    </row>
    <row r="118" customFormat="false" ht="15" hidden="false" customHeight="false" outlineLevel="0" collapsed="false">
      <c r="A118" s="8" t="n">
        <v>117</v>
      </c>
      <c r="B118" s="8" t="s">
        <v>142</v>
      </c>
      <c r="C118" s="8" t="s">
        <v>149</v>
      </c>
      <c r="D118" s="14" t="s">
        <v>31</v>
      </c>
      <c r="E118" s="10"/>
      <c r="F118" s="11"/>
      <c r="G118" s="8"/>
      <c r="H118" s="8"/>
      <c r="I118" s="11"/>
      <c r="J118" s="12"/>
      <c r="K118" s="10" t="str">
        <f aca="false">IF(J118="","",J118+14)</f>
        <v/>
      </c>
      <c r="L118" s="11"/>
      <c r="M118" s="8"/>
    </row>
    <row r="119" customFormat="false" ht="15" hidden="false" customHeight="false" outlineLevel="0" collapsed="false">
      <c r="A119" s="8" t="n">
        <v>118</v>
      </c>
      <c r="B119" s="8" t="s">
        <v>142</v>
      </c>
      <c r="C119" s="8" t="s">
        <v>150</v>
      </c>
      <c r="D119" s="14" t="s">
        <v>31</v>
      </c>
      <c r="E119" s="10"/>
      <c r="F119" s="11"/>
      <c r="G119" s="8"/>
      <c r="H119" s="8"/>
      <c r="I119" s="11"/>
      <c r="J119" s="12"/>
      <c r="K119" s="10" t="str">
        <f aca="false">IF(J119="","",J119+14)</f>
        <v/>
      </c>
      <c r="L119" s="11"/>
      <c r="M119" s="8"/>
    </row>
    <row r="120" customFormat="false" ht="15" hidden="false" customHeight="false" outlineLevel="0" collapsed="false">
      <c r="A120" s="8" t="n">
        <v>119</v>
      </c>
      <c r="B120" s="8" t="s">
        <v>142</v>
      </c>
      <c r="C120" s="8" t="s">
        <v>151</v>
      </c>
      <c r="D120" s="13" t="s">
        <v>19</v>
      </c>
      <c r="E120" s="10"/>
      <c r="F120" s="11"/>
      <c r="G120" s="8"/>
      <c r="H120" s="8"/>
      <c r="I120" s="11"/>
      <c r="J120" s="12"/>
      <c r="K120" s="10" t="str">
        <f aca="false">IF(J120="","",J120+14)</f>
        <v/>
      </c>
      <c r="L120" s="11"/>
      <c r="M120" s="8"/>
    </row>
    <row r="121" customFormat="false" ht="15" hidden="false" customHeight="false" outlineLevel="0" collapsed="false">
      <c r="A121" s="8" t="n">
        <v>120</v>
      </c>
      <c r="B121" s="8" t="s">
        <v>142</v>
      </c>
      <c r="C121" s="8" t="s">
        <v>152</v>
      </c>
      <c r="D121" s="14" t="s">
        <v>31</v>
      </c>
      <c r="E121" s="10"/>
      <c r="F121" s="11"/>
      <c r="G121" s="8"/>
      <c r="H121" s="8"/>
      <c r="I121" s="11"/>
      <c r="J121" s="12"/>
      <c r="K121" s="10" t="str">
        <f aca="false">IF(J121="","",J121+14)</f>
        <v/>
      </c>
      <c r="L121" s="11"/>
      <c r="M121" s="8"/>
    </row>
    <row r="122" customFormat="false" ht="15" hidden="false" customHeight="false" outlineLevel="0" collapsed="false">
      <c r="A122" s="8" t="n">
        <v>121</v>
      </c>
      <c r="B122" s="8" t="s">
        <v>142</v>
      </c>
      <c r="C122" s="8" t="s">
        <v>153</v>
      </c>
      <c r="D122" s="14" t="s">
        <v>31</v>
      </c>
      <c r="E122" s="10"/>
      <c r="F122" s="11"/>
      <c r="G122" s="8"/>
      <c r="H122" s="8"/>
      <c r="I122" s="11"/>
      <c r="J122" s="12"/>
      <c r="K122" s="10" t="str">
        <f aca="false">IF(J122="","",J122+14)</f>
        <v/>
      </c>
      <c r="L122" s="11"/>
      <c r="M122" s="8"/>
    </row>
    <row r="123" customFormat="false" ht="15" hidden="false" customHeight="false" outlineLevel="0" collapsed="false">
      <c r="A123" s="8" t="n">
        <v>122</v>
      </c>
      <c r="B123" s="8" t="s">
        <v>154</v>
      </c>
      <c r="C123" s="8" t="s">
        <v>155</v>
      </c>
      <c r="D123" s="13" t="s">
        <v>19</v>
      </c>
      <c r="E123" s="10"/>
      <c r="F123" s="11"/>
      <c r="G123" s="8"/>
      <c r="H123" s="8"/>
      <c r="I123" s="11"/>
      <c r="J123" s="12"/>
      <c r="K123" s="10" t="str">
        <f aca="false">IF(J123="","",J123+14)</f>
        <v/>
      </c>
      <c r="L123" s="11"/>
      <c r="M123" s="8"/>
    </row>
    <row r="124" customFormat="false" ht="15" hidden="false" customHeight="false" outlineLevel="0" collapsed="false">
      <c r="A124" s="8" t="n">
        <v>123</v>
      </c>
      <c r="B124" s="8" t="s">
        <v>154</v>
      </c>
      <c r="C124" s="8" t="s">
        <v>156</v>
      </c>
      <c r="D124" s="13" t="s">
        <v>19</v>
      </c>
      <c r="E124" s="10"/>
      <c r="F124" s="11"/>
      <c r="G124" s="8"/>
      <c r="H124" s="8"/>
      <c r="I124" s="11"/>
      <c r="J124" s="12"/>
      <c r="K124" s="10" t="str">
        <f aca="false">IF(J124="","",J124+14)</f>
        <v/>
      </c>
      <c r="L124" s="11"/>
      <c r="M124" s="8"/>
    </row>
    <row r="125" customFormat="false" ht="15" hidden="false" customHeight="false" outlineLevel="0" collapsed="false">
      <c r="A125" s="8" t="n">
        <v>124</v>
      </c>
      <c r="B125" s="8" t="s">
        <v>154</v>
      </c>
      <c r="C125" s="8" t="s">
        <v>157</v>
      </c>
      <c r="D125" s="13" t="s">
        <v>19</v>
      </c>
      <c r="E125" s="10"/>
      <c r="F125" s="11"/>
      <c r="G125" s="8"/>
      <c r="H125" s="8"/>
      <c r="I125" s="11"/>
      <c r="J125" s="12"/>
      <c r="K125" s="10" t="str">
        <f aca="false">IF(J125="","",J125+14)</f>
        <v/>
      </c>
      <c r="L125" s="11"/>
      <c r="M125" s="8"/>
    </row>
    <row r="126" customFormat="false" ht="15" hidden="false" customHeight="false" outlineLevel="0" collapsed="false">
      <c r="A126" s="8" t="n">
        <v>125</v>
      </c>
      <c r="B126" s="8" t="s">
        <v>154</v>
      </c>
      <c r="C126" s="8" t="s">
        <v>158</v>
      </c>
      <c r="D126" s="13" t="s">
        <v>19</v>
      </c>
      <c r="E126" s="10"/>
      <c r="F126" s="11"/>
      <c r="G126" s="8"/>
      <c r="H126" s="8"/>
      <c r="I126" s="11"/>
      <c r="J126" s="12"/>
      <c r="K126" s="10" t="str">
        <f aca="false">IF(J126="","",J126+14)</f>
        <v/>
      </c>
      <c r="L126" s="11"/>
      <c r="M126" s="8"/>
    </row>
    <row r="127" customFormat="false" ht="15" hidden="false" customHeight="false" outlineLevel="0" collapsed="false">
      <c r="A127" s="8" t="n">
        <v>126</v>
      </c>
      <c r="B127" s="8" t="s">
        <v>154</v>
      </c>
      <c r="C127" s="8" t="s">
        <v>159</v>
      </c>
      <c r="D127" s="13" t="s">
        <v>19</v>
      </c>
      <c r="E127" s="10"/>
      <c r="F127" s="11"/>
      <c r="G127" s="8"/>
      <c r="H127" s="8"/>
      <c r="I127" s="11"/>
      <c r="J127" s="12"/>
      <c r="K127" s="10" t="str">
        <f aca="false">IF(J127="","",J127+14)</f>
        <v/>
      </c>
      <c r="L127" s="11"/>
      <c r="M127" s="8"/>
    </row>
    <row r="128" customFormat="false" ht="15" hidden="false" customHeight="false" outlineLevel="0" collapsed="false">
      <c r="A128" s="8" t="n">
        <v>127</v>
      </c>
      <c r="B128" s="8" t="s">
        <v>154</v>
      </c>
      <c r="C128" s="8" t="s">
        <v>160</v>
      </c>
      <c r="D128" s="13" t="s">
        <v>19</v>
      </c>
      <c r="E128" s="10"/>
      <c r="F128" s="11"/>
      <c r="G128" s="8"/>
      <c r="H128" s="8"/>
      <c r="I128" s="11"/>
      <c r="J128" s="12"/>
      <c r="K128" s="10" t="str">
        <f aca="false">IF(J128="","",J128+14)</f>
        <v/>
      </c>
      <c r="L128" s="11"/>
      <c r="M128" s="8"/>
    </row>
    <row r="129" customFormat="false" ht="15" hidden="false" customHeight="false" outlineLevel="0" collapsed="false">
      <c r="A129" s="8" t="n">
        <v>128</v>
      </c>
      <c r="B129" s="8" t="s">
        <v>154</v>
      </c>
      <c r="C129" s="8" t="s">
        <v>161</v>
      </c>
      <c r="D129" s="13" t="s">
        <v>19</v>
      </c>
      <c r="E129" s="10"/>
      <c r="F129" s="11"/>
      <c r="G129" s="8"/>
      <c r="H129" s="8"/>
      <c r="I129" s="11"/>
      <c r="J129" s="12"/>
      <c r="K129" s="10" t="str">
        <f aca="false">IF(J129="","",J129+14)</f>
        <v/>
      </c>
      <c r="L129" s="11"/>
      <c r="M129" s="8"/>
    </row>
    <row r="130" customFormat="false" ht="15" hidden="false" customHeight="false" outlineLevel="0" collapsed="false">
      <c r="A130" s="8" t="n">
        <v>129</v>
      </c>
      <c r="B130" s="8" t="s">
        <v>154</v>
      </c>
      <c r="C130" s="8" t="s">
        <v>162</v>
      </c>
      <c r="D130" s="13" t="s">
        <v>19</v>
      </c>
      <c r="E130" s="10"/>
      <c r="F130" s="11"/>
      <c r="G130" s="8"/>
      <c r="H130" s="8"/>
      <c r="I130" s="11"/>
      <c r="J130" s="12"/>
      <c r="K130" s="10" t="str">
        <f aca="false">IF(J130="","",J130+14)</f>
        <v/>
      </c>
      <c r="L130" s="11"/>
      <c r="M130" s="8"/>
    </row>
    <row r="131" customFormat="false" ht="15" hidden="false" customHeight="false" outlineLevel="0" collapsed="false">
      <c r="A131" s="8" t="n">
        <v>130</v>
      </c>
      <c r="B131" s="8" t="s">
        <v>163</v>
      </c>
      <c r="C131" s="8" t="s">
        <v>164</v>
      </c>
      <c r="D131" s="13" t="s">
        <v>19</v>
      </c>
      <c r="E131" s="10"/>
      <c r="F131" s="11"/>
      <c r="G131" s="8"/>
      <c r="H131" s="8"/>
      <c r="I131" s="11"/>
      <c r="J131" s="12"/>
      <c r="K131" s="10" t="str">
        <f aca="false">IF(J131="","",J131+14)</f>
        <v/>
      </c>
      <c r="L131" s="11"/>
      <c r="M131" s="8"/>
    </row>
    <row r="132" customFormat="false" ht="15" hidden="false" customHeight="false" outlineLevel="0" collapsed="false">
      <c r="A132" s="8" t="n">
        <v>131</v>
      </c>
      <c r="B132" s="8" t="s">
        <v>163</v>
      </c>
      <c r="C132" s="8" t="s">
        <v>165</v>
      </c>
      <c r="D132" s="13" t="s">
        <v>19</v>
      </c>
      <c r="E132" s="10"/>
      <c r="F132" s="11"/>
      <c r="G132" s="8"/>
      <c r="H132" s="8"/>
      <c r="I132" s="11"/>
      <c r="J132" s="12"/>
      <c r="K132" s="10" t="str">
        <f aca="false">IF(J132="","",J132+14)</f>
        <v/>
      </c>
      <c r="L132" s="11"/>
      <c r="M132" s="8"/>
    </row>
    <row r="133" customFormat="false" ht="15" hidden="false" customHeight="false" outlineLevel="0" collapsed="false">
      <c r="A133" s="8" t="n">
        <v>132</v>
      </c>
      <c r="B133" s="8" t="s">
        <v>163</v>
      </c>
      <c r="C133" s="8" t="s">
        <v>166</v>
      </c>
      <c r="D133" s="13" t="s">
        <v>19</v>
      </c>
      <c r="E133" s="10"/>
      <c r="F133" s="11"/>
      <c r="G133" s="8"/>
      <c r="H133" s="8"/>
      <c r="I133" s="11"/>
      <c r="J133" s="12"/>
      <c r="K133" s="10" t="str">
        <f aca="false">IF(J133="","",J133+14)</f>
        <v/>
      </c>
      <c r="L133" s="11"/>
      <c r="M133" s="8"/>
    </row>
    <row r="134" customFormat="false" ht="15" hidden="false" customHeight="false" outlineLevel="0" collapsed="false">
      <c r="A134" s="8" t="n">
        <v>133</v>
      </c>
      <c r="B134" s="8" t="s">
        <v>163</v>
      </c>
      <c r="C134" s="8" t="s">
        <v>167</v>
      </c>
      <c r="D134" s="9" t="s">
        <v>15</v>
      </c>
      <c r="E134" s="10"/>
      <c r="F134" s="11"/>
      <c r="G134" s="8"/>
      <c r="H134" s="8"/>
      <c r="I134" s="11"/>
      <c r="J134" s="12"/>
      <c r="K134" s="10" t="str">
        <f aca="false">IF(J134="","",J134+14)</f>
        <v/>
      </c>
      <c r="L134" s="11"/>
      <c r="M134" s="8"/>
    </row>
    <row r="135" customFormat="false" ht="15" hidden="false" customHeight="false" outlineLevel="0" collapsed="false">
      <c r="A135" s="8" t="n">
        <v>134</v>
      </c>
      <c r="B135" s="8" t="s">
        <v>163</v>
      </c>
      <c r="C135" s="8" t="s">
        <v>168</v>
      </c>
      <c r="D135" s="13" t="s">
        <v>19</v>
      </c>
      <c r="E135" s="10"/>
      <c r="F135" s="11"/>
      <c r="G135" s="8"/>
      <c r="H135" s="8"/>
      <c r="I135" s="11"/>
      <c r="J135" s="12"/>
      <c r="K135" s="10" t="str">
        <f aca="false">IF(J135="","",J135+14)</f>
        <v/>
      </c>
      <c r="L135" s="11"/>
      <c r="M135" s="8"/>
    </row>
    <row r="136" customFormat="false" ht="15" hidden="false" customHeight="false" outlineLevel="0" collapsed="false">
      <c r="A136" s="8" t="n">
        <v>135</v>
      </c>
      <c r="B136" s="8" t="s">
        <v>163</v>
      </c>
      <c r="C136" s="8" t="s">
        <v>169</v>
      </c>
      <c r="D136" s="14" t="s">
        <v>31</v>
      </c>
      <c r="E136" s="10"/>
      <c r="F136" s="11"/>
      <c r="G136" s="8"/>
      <c r="H136" s="8"/>
      <c r="I136" s="11"/>
      <c r="J136" s="12"/>
      <c r="K136" s="10" t="str">
        <f aca="false">IF(J136="","",J136+14)</f>
        <v/>
      </c>
      <c r="L136" s="11"/>
      <c r="M136" s="8"/>
    </row>
    <row r="137" customFormat="false" ht="15" hidden="false" customHeight="false" outlineLevel="0" collapsed="false">
      <c r="A137" s="8" t="n">
        <v>136</v>
      </c>
      <c r="B137" s="8" t="s">
        <v>170</v>
      </c>
      <c r="C137" s="8" t="s">
        <v>171</v>
      </c>
      <c r="D137" s="13" t="s">
        <v>19</v>
      </c>
      <c r="E137" s="10"/>
      <c r="F137" s="11"/>
      <c r="G137" s="8"/>
      <c r="H137" s="8"/>
      <c r="I137" s="11"/>
      <c r="J137" s="12"/>
      <c r="K137" s="10" t="str">
        <f aca="false">IF(J137="","",J137+14)</f>
        <v/>
      </c>
      <c r="L137" s="11"/>
      <c r="M137" s="8"/>
    </row>
    <row r="138" customFormat="false" ht="15" hidden="false" customHeight="false" outlineLevel="0" collapsed="false">
      <c r="A138" s="8" t="n">
        <v>137</v>
      </c>
      <c r="B138" s="8" t="s">
        <v>170</v>
      </c>
      <c r="C138" s="8" t="s">
        <v>172</v>
      </c>
      <c r="D138" s="13" t="s">
        <v>19</v>
      </c>
      <c r="E138" s="10"/>
      <c r="F138" s="11"/>
      <c r="G138" s="8"/>
      <c r="H138" s="8"/>
      <c r="I138" s="11"/>
      <c r="J138" s="12"/>
      <c r="K138" s="10" t="str">
        <f aca="false">IF(J138="","",J138+14)</f>
        <v/>
      </c>
      <c r="L138" s="11"/>
      <c r="M138" s="8"/>
    </row>
    <row r="139" customFormat="false" ht="15" hidden="false" customHeight="false" outlineLevel="0" collapsed="false">
      <c r="A139" s="8" t="n">
        <v>138</v>
      </c>
      <c r="B139" s="8" t="s">
        <v>170</v>
      </c>
      <c r="C139" s="8" t="s">
        <v>173</v>
      </c>
      <c r="D139" s="13" t="s">
        <v>19</v>
      </c>
      <c r="E139" s="10"/>
      <c r="F139" s="11"/>
      <c r="G139" s="8"/>
      <c r="H139" s="8"/>
      <c r="I139" s="11"/>
      <c r="J139" s="12"/>
      <c r="K139" s="10" t="str">
        <f aca="false">IF(J139="","",J139+14)</f>
        <v/>
      </c>
      <c r="L139" s="11"/>
      <c r="M139" s="8"/>
    </row>
    <row r="140" customFormat="false" ht="15" hidden="false" customHeight="false" outlineLevel="0" collapsed="false">
      <c r="A140" s="8" t="n">
        <v>139</v>
      </c>
      <c r="B140" s="8" t="s">
        <v>170</v>
      </c>
      <c r="C140" s="8" t="s">
        <v>174</v>
      </c>
      <c r="D140" s="9" t="s">
        <v>15</v>
      </c>
      <c r="E140" s="10"/>
      <c r="F140" s="11"/>
      <c r="G140" s="8"/>
      <c r="H140" s="8"/>
      <c r="I140" s="11"/>
      <c r="J140" s="12"/>
      <c r="K140" s="10" t="str">
        <f aca="false">IF(J140="","",J140+14)</f>
        <v/>
      </c>
      <c r="L140" s="11"/>
      <c r="M140" s="8"/>
    </row>
    <row r="141" customFormat="false" ht="15" hidden="false" customHeight="false" outlineLevel="0" collapsed="false">
      <c r="A141" s="8" t="n">
        <v>140</v>
      </c>
      <c r="B141" s="8" t="s">
        <v>170</v>
      </c>
      <c r="C141" s="8" t="s">
        <v>175</v>
      </c>
      <c r="D141" s="9" t="s">
        <v>15</v>
      </c>
      <c r="E141" s="10"/>
      <c r="F141" s="11"/>
      <c r="G141" s="8"/>
      <c r="H141" s="8"/>
      <c r="I141" s="11"/>
      <c r="J141" s="12"/>
      <c r="K141" s="10" t="str">
        <f aca="false">IF(J141="","",J141+14)</f>
        <v/>
      </c>
      <c r="L141" s="11"/>
      <c r="M141" s="8"/>
    </row>
    <row r="142" customFormat="false" ht="15" hidden="false" customHeight="false" outlineLevel="0" collapsed="false">
      <c r="A142" s="8" t="n">
        <v>141</v>
      </c>
      <c r="B142" s="8" t="s">
        <v>170</v>
      </c>
      <c r="C142" s="8" t="s">
        <v>176</v>
      </c>
      <c r="D142" s="13" t="s">
        <v>19</v>
      </c>
      <c r="E142" s="10"/>
      <c r="F142" s="11"/>
      <c r="G142" s="8"/>
      <c r="H142" s="8"/>
      <c r="I142" s="11"/>
      <c r="J142" s="12"/>
      <c r="K142" s="10" t="str">
        <f aca="false">IF(J142="","",J142+14)</f>
        <v/>
      </c>
      <c r="L142" s="11"/>
      <c r="M142" s="8"/>
    </row>
    <row r="143" customFormat="false" ht="15" hidden="false" customHeight="false" outlineLevel="0" collapsed="false">
      <c r="A143" s="8" t="n">
        <v>142</v>
      </c>
      <c r="B143" s="8" t="s">
        <v>170</v>
      </c>
      <c r="C143" s="8" t="s">
        <v>177</v>
      </c>
      <c r="D143" s="13" t="s">
        <v>19</v>
      </c>
      <c r="E143" s="10"/>
      <c r="F143" s="11"/>
      <c r="G143" s="8"/>
      <c r="H143" s="8"/>
      <c r="I143" s="11"/>
      <c r="J143" s="12"/>
      <c r="K143" s="10" t="str">
        <f aca="false">IF(J143="","",J143+14)</f>
        <v/>
      </c>
      <c r="L143" s="11"/>
      <c r="M143" s="8"/>
    </row>
    <row r="144" customFormat="false" ht="15" hidden="false" customHeight="false" outlineLevel="0" collapsed="false">
      <c r="A144" s="8" t="n">
        <v>143</v>
      </c>
      <c r="B144" s="8" t="s">
        <v>170</v>
      </c>
      <c r="C144" s="8" t="s">
        <v>178</v>
      </c>
      <c r="D144" s="13" t="s">
        <v>19</v>
      </c>
      <c r="E144" s="10"/>
      <c r="F144" s="11"/>
      <c r="G144" s="8"/>
      <c r="H144" s="8"/>
      <c r="I144" s="11"/>
      <c r="J144" s="12"/>
      <c r="K144" s="10" t="str">
        <f aca="false">IF(J144="","",J144+14)</f>
        <v/>
      </c>
      <c r="L144" s="11"/>
      <c r="M144" s="8"/>
    </row>
    <row r="145" customFormat="false" ht="15" hidden="false" customHeight="false" outlineLevel="0" collapsed="false">
      <c r="A145" s="8" t="n">
        <v>144</v>
      </c>
      <c r="B145" s="8" t="s">
        <v>179</v>
      </c>
      <c r="C145" s="8" t="s">
        <v>180</v>
      </c>
      <c r="D145" s="9" t="s">
        <v>15</v>
      </c>
      <c r="E145" s="10"/>
      <c r="F145" s="11"/>
      <c r="G145" s="8"/>
      <c r="H145" s="8"/>
      <c r="I145" s="11"/>
      <c r="J145" s="12"/>
      <c r="K145" s="10" t="str">
        <f aca="false">IF(J145="","",J145+14)</f>
        <v/>
      </c>
      <c r="L145" s="11"/>
      <c r="M145" s="8"/>
    </row>
    <row r="146" customFormat="false" ht="15" hidden="false" customHeight="false" outlineLevel="0" collapsed="false">
      <c r="A146" s="8" t="n">
        <v>145</v>
      </c>
      <c r="B146" s="8" t="s">
        <v>179</v>
      </c>
      <c r="C146" s="8" t="s">
        <v>181</v>
      </c>
      <c r="D146" s="9" t="s">
        <v>15</v>
      </c>
      <c r="E146" s="10"/>
      <c r="F146" s="11"/>
      <c r="G146" s="8"/>
      <c r="H146" s="8"/>
      <c r="I146" s="11"/>
      <c r="J146" s="12"/>
      <c r="K146" s="10" t="str">
        <f aca="false">IF(J146="","",J146+14)</f>
        <v/>
      </c>
      <c r="L146" s="11"/>
      <c r="M146" s="8"/>
    </row>
    <row r="147" customFormat="false" ht="15" hidden="false" customHeight="false" outlineLevel="0" collapsed="false">
      <c r="A147" s="8" t="n">
        <v>146</v>
      </c>
      <c r="B147" s="8" t="s">
        <v>179</v>
      </c>
      <c r="C147" s="8" t="s">
        <v>182</v>
      </c>
      <c r="D147" s="9" t="s">
        <v>15</v>
      </c>
      <c r="E147" s="10"/>
      <c r="F147" s="11"/>
      <c r="G147" s="8"/>
      <c r="H147" s="8"/>
      <c r="I147" s="11"/>
      <c r="J147" s="12"/>
      <c r="K147" s="10" t="str">
        <f aca="false">IF(J147="","",J147+14)</f>
        <v/>
      </c>
      <c r="L147" s="11"/>
      <c r="M147" s="8"/>
    </row>
    <row r="148" customFormat="false" ht="15" hidden="false" customHeight="false" outlineLevel="0" collapsed="false">
      <c r="A148" s="8" t="n">
        <v>147</v>
      </c>
      <c r="B148" s="8" t="s">
        <v>179</v>
      </c>
      <c r="C148" s="8" t="s">
        <v>183</v>
      </c>
      <c r="D148" s="9" t="s">
        <v>15</v>
      </c>
      <c r="E148" s="10"/>
      <c r="F148" s="11"/>
      <c r="G148" s="8"/>
      <c r="H148" s="8"/>
      <c r="I148" s="11"/>
      <c r="J148" s="12"/>
      <c r="K148" s="10" t="str">
        <f aca="false">IF(J148="","",J148+14)</f>
        <v/>
      </c>
      <c r="L148" s="11"/>
      <c r="M148" s="8"/>
    </row>
    <row r="149" customFormat="false" ht="15" hidden="false" customHeight="false" outlineLevel="0" collapsed="false">
      <c r="A149" s="8" t="n">
        <v>148</v>
      </c>
      <c r="B149" s="8" t="s">
        <v>179</v>
      </c>
      <c r="C149" s="8" t="s">
        <v>184</v>
      </c>
      <c r="D149" s="9" t="s">
        <v>15</v>
      </c>
      <c r="E149" s="10"/>
      <c r="F149" s="11"/>
      <c r="G149" s="8"/>
      <c r="H149" s="8"/>
      <c r="I149" s="11"/>
      <c r="J149" s="12"/>
      <c r="K149" s="10" t="str">
        <f aca="false">IF(J149="","",J149+14)</f>
        <v/>
      </c>
      <c r="L149" s="11"/>
      <c r="M149" s="8"/>
    </row>
    <row r="150" customFormat="false" ht="15" hidden="false" customHeight="false" outlineLevel="0" collapsed="false">
      <c r="A150" s="8" t="n">
        <v>149</v>
      </c>
      <c r="B150" s="8" t="s">
        <v>179</v>
      </c>
      <c r="C150" s="8" t="s">
        <v>185</v>
      </c>
      <c r="D150" s="13" t="s">
        <v>19</v>
      </c>
      <c r="E150" s="10"/>
      <c r="F150" s="11"/>
      <c r="G150" s="8"/>
      <c r="H150" s="8"/>
      <c r="I150" s="11"/>
      <c r="J150" s="12"/>
      <c r="K150" s="10" t="str">
        <f aca="false">IF(J150="","",J150+14)</f>
        <v/>
      </c>
      <c r="L150" s="11"/>
      <c r="M150" s="8"/>
    </row>
    <row r="151" customFormat="false" ht="15" hidden="false" customHeight="false" outlineLevel="0" collapsed="false">
      <c r="A151" s="8" t="n">
        <v>150</v>
      </c>
      <c r="B151" s="8" t="s">
        <v>179</v>
      </c>
      <c r="C151" s="8" t="s">
        <v>186</v>
      </c>
      <c r="D151" s="13" t="s">
        <v>19</v>
      </c>
      <c r="E151" s="10"/>
      <c r="F151" s="11"/>
      <c r="G151" s="8"/>
      <c r="H151" s="8"/>
      <c r="I151" s="11"/>
      <c r="J151" s="12"/>
      <c r="K151" s="10" t="str">
        <f aca="false">IF(J151="","",J151+14)</f>
        <v/>
      </c>
      <c r="L151" s="11"/>
      <c r="M151" s="8"/>
    </row>
  </sheetData>
  <conditionalFormatting sqref="I2:I151">
    <cfRule type="cellIs" priority="2" operator="equal" aboveAverage="0" equalAverage="0" bottom="0" percent="0" rank="0" text="" dxfId="0">
      <formula>"Solved"</formula>
    </cfRule>
    <cfRule type="cellIs" priority="3" operator="equal" aboveAverage="0" equalAverage="0" bottom="0" percent="0" rank="0" text="" dxfId="1">
      <formula>"Solved with Help"</formula>
    </cfRule>
    <cfRule type="cellIs" priority="4" operator="equal" aboveAverage="0" equalAverage="0" bottom="0" percent="0" rank="0" text="" dxfId="2">
      <formula>"Attempted"</formula>
    </cfRule>
    <cfRule type="cellIs" priority="5" operator="equal" aboveAverage="0" equalAverage="0" bottom="0" percent="0" rank="0" text="" dxfId="3">
      <formula>"Not Started"</formula>
    </cfRule>
  </conditionalFormatting>
  <conditionalFormatting sqref="K2:K151">
    <cfRule type="expression" priority="6" aboveAverage="0" equalAverage="0" bottom="0" percent="0" rank="0" text="" dxfId="4">
      <formula>AND(K2&lt;&gt;"",K2&lt;=TODAY(),OR(L2="No",L2=""))</formula>
    </cfRule>
  </conditionalFormatting>
  <dataValidations count="3">
    <dataValidation allowBlank="true" errorStyle="stop" operator="between" showDropDown="false" showErrorMessage="false" showInputMessage="false" sqref="F2:F151" type="list">
      <formula1>"Yes,No"</formula1>
      <formula2>0</formula2>
    </dataValidation>
    <dataValidation allowBlank="true" errorStyle="stop" operator="between" showDropDown="false" showErrorMessage="false" showInputMessage="false" sqref="I2:I151" type="list">
      <formula1>"Solved,Solved with Help,Attempted,Not Started"</formula1>
      <formula2>0</formula2>
    </dataValidation>
    <dataValidation allowBlank="true" errorStyle="stop" operator="between" showDropDown="false" showErrorMessage="false" showInputMessage="false" sqref="L2:L151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</cols>
  <sheetData>
    <row r="1" customFormat="false" ht="17.35" hidden="false" customHeight="false" outlineLevel="0" collapsed="false">
      <c r="A1" s="15" t="s">
        <v>187</v>
      </c>
    </row>
    <row r="3" customFormat="false" ht="15" hidden="false" customHeight="false" outlineLevel="0" collapsed="false">
      <c r="A3" s="16" t="s">
        <v>188</v>
      </c>
      <c r="B3" s="17" t="n">
        <f aca="false">COUNTA(Tracker!C2:C151)</f>
        <v>150</v>
      </c>
    </row>
    <row r="4" customFormat="false" ht="15" hidden="false" customHeight="false" outlineLevel="0" collapsed="false">
      <c r="A4" s="16" t="s">
        <v>80</v>
      </c>
      <c r="B4" s="17" t="n">
        <f aca="false">COUNTIF(Tracker!I2:I151,"Solved")</f>
        <v>5</v>
      </c>
    </row>
    <row r="5" customFormat="false" ht="15" hidden="false" customHeight="false" outlineLevel="0" collapsed="false">
      <c r="A5" s="16" t="s">
        <v>83</v>
      </c>
      <c r="B5" s="17" t="n">
        <f aca="false">COUNTIF(Tracker!I2:I151,"Solved with Help")</f>
        <v>3</v>
      </c>
    </row>
    <row r="6" customFormat="false" ht="15" hidden="false" customHeight="false" outlineLevel="0" collapsed="false">
      <c r="A6" s="16" t="s">
        <v>189</v>
      </c>
      <c r="B6" s="17" t="n">
        <f aca="false">COUNTIF(Tracker!I2:I151,"Attempted")</f>
        <v>0</v>
      </c>
    </row>
    <row r="7" customFormat="false" ht="15" hidden="false" customHeight="false" outlineLevel="0" collapsed="false">
      <c r="A7" s="16" t="s">
        <v>190</v>
      </c>
      <c r="B7" s="17" t="n">
        <f aca="false">COUNTA(Tracker!C2:C151)-COUNTIF(Tracker!I2:I151,"Solved")-COUNTIF(Tracker!I2:I151,"Solved with Help")-COUNTIF(Tracker!I2:I151,"Attempted")</f>
        <v>142</v>
      </c>
    </row>
    <row r="8" customFormat="false" ht="15" hidden="false" customHeight="false" outlineLevel="0" collapsed="false">
      <c r="A8" s="16" t="s">
        <v>191</v>
      </c>
      <c r="B8" s="18" t="n">
        <f aca="false">(COUNTIF(Tracker!I2:I151,"Solved")+COUNTIF(Tracker!I2:I151,"Solved with Help"))/COUNTA(Tracker!C2:C151)</f>
        <v>0.0533333333333333</v>
      </c>
    </row>
    <row r="9" customFormat="false" ht="15" hidden="false" customHeight="false" outlineLevel="0" collapsed="false">
      <c r="A9" s="16" t="s">
        <v>192</v>
      </c>
      <c r="B9" s="17" t="n">
        <f aca="true">COUNTIFS(Tracker!K2:K151,"&lt;="&amp;TODAY(),Tracker!K2:K151,"&lt;&gt;",Tracker!L2:L151,"&lt;&gt;Yes")</f>
        <v>1</v>
      </c>
    </row>
    <row r="11" customFormat="false" ht="15" hidden="false" customHeight="false" outlineLevel="0" collapsed="false">
      <c r="A11" s="19" t="s">
        <v>193</v>
      </c>
    </row>
    <row r="12" customFormat="false" ht="15" hidden="false" customHeight="false" outlineLevel="0" collapsed="false">
      <c r="A12" s="17" t="s">
        <v>15</v>
      </c>
      <c r="B12" s="17" t="str">
        <f aca="false">COUNTIFS(Tracker!D2:D151,"Easy",Tracker!I2:I151,"Solved")&amp;"/"&amp;COUNTIF(Tracker!D2:D151,"Easy")</f>
        <v>0/28</v>
      </c>
    </row>
    <row r="13" customFormat="false" ht="15" hidden="false" customHeight="false" outlineLevel="0" collapsed="false">
      <c r="A13" s="17" t="s">
        <v>19</v>
      </c>
      <c r="B13" s="17" t="str">
        <f aca="false">COUNTIFS(Tracker!D2:D151,"Medium",Tracker!I2:I151,"Solved")&amp;"/"&amp;COUNTIF(Tracker!D2:D151,"Medium")</f>
        <v>3/101</v>
      </c>
    </row>
    <row r="14" customFormat="false" ht="15" hidden="false" customHeight="false" outlineLevel="0" collapsed="false">
      <c r="A14" s="17" t="s">
        <v>31</v>
      </c>
      <c r="B14" s="17" t="str">
        <f aca="false">COUNTIFS(Tracker!D2:D151,"Hard",Tracker!I2:I151,"Solved")&amp;"/"&amp;COUNTIF(Tracker!D2:D151,"Hard")</f>
        <v>2/21</v>
      </c>
    </row>
    <row r="16" customFormat="false" ht="15" hidden="false" customHeight="false" outlineLevel="0" collapsed="false">
      <c r="A16" s="19" t="s">
        <v>194</v>
      </c>
    </row>
    <row r="17" customFormat="false" ht="15" hidden="false" customHeight="false" outlineLevel="0" collapsed="false">
      <c r="A17" s="20" t="s">
        <v>195</v>
      </c>
    </row>
    <row r="18" customFormat="false" ht="15" hidden="false" customHeight="false" outlineLevel="0" collapsed="false">
      <c r="A18" s="20" t="s">
        <v>196</v>
      </c>
    </row>
    <row r="19" customFormat="false" ht="15" hidden="false" customHeight="false" outlineLevel="0" collapsed="false">
      <c r="A19" s="20" t="s">
        <v>197</v>
      </c>
    </row>
    <row r="20" customFormat="false" ht="15" hidden="false" customHeight="false" outlineLevel="0" collapsed="false">
      <c r="A20" s="20" t="s">
        <v>198</v>
      </c>
    </row>
    <row r="21" customFormat="false" ht="15" hidden="false" customHeight="false" outlineLevel="0" collapsed="false">
      <c r="A21" s="20" t="s">
        <v>199</v>
      </c>
    </row>
    <row r="22" customFormat="false" ht="15" hidden="false" customHeight="false" outlineLevel="0" collapsed="false">
      <c r="A22" s="20" t="s">
        <v>200</v>
      </c>
    </row>
    <row r="23" customFormat="false" ht="15" hidden="false" customHeight="false" outlineLevel="0" collapsed="false">
      <c r="A23" s="20" t="s">
        <v>201</v>
      </c>
    </row>
    <row r="24" customFormat="false" ht="15" hidden="false" customHeight="false" outlineLevel="0" collapsed="false">
      <c r="A24" s="20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2026-07-09T11:26:32Z</dcterms:created>
  <dc:creator>openpyxl</dc:creator>
  <dc:description/>
  <dc:language>en-US</dc:language>
  <cp:lastModifiedBy/>
  <dcterms:modified xsi:type="dcterms:W3CDTF">2026-07-30T22:07:07Z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